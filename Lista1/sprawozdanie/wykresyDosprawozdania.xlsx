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bak\Desktop\"/>
    </mc:Choice>
  </mc:AlternateContent>
  <xr:revisionPtr revIDLastSave="0" documentId="13_ncr:1_{BFD42BCE-E861-41E3-83E1-4C31D7402686}" xr6:coauthVersionLast="47" xr6:coauthVersionMax="47" xr10:uidLastSave="{00000000-0000-0000-0000-000000000000}"/>
  <bookViews>
    <workbookView xWindow="-120" yWindow="-120" windowWidth="29040" windowHeight="15720" activeTab="1" xr2:uid="{0C39EF35-DCEA-45A4-B2CC-342D0DE1B9D4}"/>
  </bookViews>
  <sheets>
    <sheet name="Chart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7" i="1" l="1"/>
  <c r="V65" i="1"/>
  <c r="V66" i="1"/>
  <c r="V67" i="1"/>
  <c r="V68" i="1"/>
  <c r="V69" i="1"/>
  <c r="V70" i="1"/>
  <c r="V71" i="1"/>
  <c r="V72" i="1"/>
  <c r="V73" i="1"/>
  <c r="V74" i="1"/>
  <c r="V75" i="1"/>
  <c r="V76" i="1"/>
  <c r="U66" i="1"/>
  <c r="U67" i="1"/>
  <c r="U68" i="1"/>
  <c r="U69" i="1"/>
  <c r="U70" i="1"/>
  <c r="U71" i="1"/>
  <c r="U72" i="1"/>
  <c r="U73" i="1"/>
  <c r="U74" i="1"/>
  <c r="U75" i="1"/>
  <c r="U76" i="1"/>
  <c r="U77" i="1"/>
  <c r="U65" i="1"/>
  <c r="T66" i="1"/>
  <c r="T65" i="1"/>
  <c r="T67" i="1"/>
  <c r="T68" i="1"/>
  <c r="T69" i="1"/>
  <c r="T70" i="1"/>
  <c r="T71" i="1"/>
  <c r="T72" i="1"/>
  <c r="T73" i="1"/>
  <c r="T74" i="1"/>
  <c r="T75" i="1"/>
  <c r="T76" i="1"/>
  <c r="T77" i="1"/>
  <c r="AD44" i="1"/>
  <c r="AC44" i="1"/>
  <c r="AB44" i="1"/>
  <c r="Z44" i="1"/>
  <c r="Y44" i="1"/>
  <c r="X44" i="1"/>
  <c r="V44" i="1"/>
  <c r="U44" i="1"/>
  <c r="T44" i="1"/>
  <c r="I30" i="1"/>
  <c r="J30" i="1"/>
  <c r="K30" i="1"/>
  <c r="I45" i="1"/>
  <c r="J45" i="1"/>
  <c r="K45" i="1"/>
  <c r="E45" i="1"/>
  <c r="F45" i="1"/>
  <c r="G45" i="1"/>
  <c r="E30" i="1"/>
  <c r="F30" i="1"/>
  <c r="G30" i="1"/>
  <c r="B45" i="1"/>
  <c r="C45" i="1"/>
  <c r="A45" i="1"/>
  <c r="C30" i="1"/>
  <c r="B30" i="1"/>
  <c r="A30" i="1"/>
</calcChain>
</file>

<file path=xl/sharedStrings.xml><?xml version="1.0" encoding="utf-8"?>
<sst xmlns="http://schemas.openxmlformats.org/spreadsheetml/2006/main" count="129" uniqueCount="88">
  <si>
    <t>int A[] = {
742, 51, 283, 953, 405, 124, 698, 27, 88, 431,
699, 806, 210, 149, 492, 672, 959, 73, 215, 302,
14, 605, 766, 940, 821, 157, 541, 680, 345, 871,
972, 634, 414, 378, 267, 50, 802, 153, 639, 316,
685, 288, 703, 119, 409, 868, 102, 661, 994, 560,
463, 731, 190, 584, 998, 314, 457, 387, 78, 10,
525, 960, 279, 239, 666, 327, 356, 934, 772, 958,
63, 884, 15, 328, 274, 569, 45, 902, 774, 208,
320, 533, 341, 738, 648, 392, 865, 122, 213, 597,
917, 38, 307, 847, 555, 216, 440, 923, 799, 181
};</t>
  </si>
  <si>
    <t>int A[] = {
15, 932, 47, 518, 782, 201, 664, 932, 14, 98,
551, 436, 839, 763, 51, 254, 891, 499, 373, 276,
412, 998, 585, 324, 866, 9, 731, 790, 199, 588,
712, 387, 81, 963, 147, 874, 452, 665, 227, 554,
302, 714, 642, 796, 88, 576, 909, 803, 21, 156,
777, 543, 31, 970, 271, 447, 755, 230, 623, 712,
421, 8, 701, 413, 342, 211, 699, 931, 407, 120,
417, 736, 393, 927, 50, 645, 586, 275, 520, 244,
66, 774, 13, 729, 357, 333, 317, 188, 470, 703,
814, 417, 245, 595, 681, 589, 743, 900, 782, 600
};</t>
  </si>
  <si>
    <t>prawie posortowana</t>
  </si>
  <si>
    <t>int A[] = {
1, 3, 4, 6, 7, 9, 11, 12, 14, 15,
16, 17, 18, 19, 20, 22, 23, 24, 25, 26,
28, 29, 30, 31, 33, 34, 35, 36, 38, 39,
41, 42, 43, 45, 47, 48, 49, 50, 51, 52,
54, 55, 56, 58, 59, 60, 61, 63, 65, 66,
68, 69, 70, 71, 73, 74, 75, 76, 78, 79,
80, 82, 83, 84, 85, 87, 88, 89, 90, 91,
93, 94, 95, 97, 98, 99, 100, 102, 103, 104,
106, 107, 109, 110, 111, 112, 113, 114, 115, 500,
117, 118, 119, 120, 121, 122, 123, 124, 125, 126
};</t>
  </si>
  <si>
    <t>int A[] = {
999, 998, 997, 996, 995, 994, 993, 992, 991, 990,
989, 988, 987, 986, 985, 984, 983, 982, 981, 980,
979, 978, 977, 976, 975, 974, 973, 972, 971, 970,
969, 968, 967, 966, 965, 964, 963, 962, 961, 960,
959, 958, 957, 956, 955, 954, 953, 952, 951, 950,
949, 948, 947, 946, 945, 944, 943, 942, 941, 940,
939, 938, 937, 936, 935, 934, 933, 932, 931, 930,
929, 928, 927, 926, 925, 924, 923, 922, 921, 920,
919, 918, 917, 916, 915, 914, 913, 912, 911, 910,
909, 908, 907, 906, 905, 904, 903, 902, 901, 900
};</t>
  </si>
  <si>
    <t>odwrotnie posortowana</t>
  </si>
  <si>
    <t>int A[] = {
50, 51, 52, 50, 53, 54, 55, 50, 56, 57,
50, 58, 59, 50, 60, 61, 62, 50, 63, 64,
50, 65, 66, 67, 50, 68, 69, 70, 50, 71,
72, 50, 73, 74, 75, 50, 76, 77, 78, 50,
79, 80, 81, 82, 50, 83, 84, 85, 86, 50,
87, 88, 89, 90, 91, 92, 93, 94, 95, 96,
97, 98, 99, 100, 50, 101, 102, 103, 104, 50,
105, 106, 107, 108, 109, 110, 111, 112, 113, 50,
114, 115, 116, 117, 118, 119, 120, 121, 122, 123,
50, 124, 125, 126, 127, 128, 129, 130, 131, 50
};</t>
  </si>
  <si>
    <t xml:space="preserve">z powtorzeniami </t>
  </si>
  <si>
    <t>losowa 1</t>
  </si>
  <si>
    <t>losowa2</t>
  </si>
  <si>
    <t>losowa 3</t>
  </si>
  <si>
    <t>int A[] = {
1285, 6421, 2577, 8209, 9715, 369, 6225, 972, 4708, 5538,
7649, 3322, 8036, 2323, 9299, 5870, 2242, 4906, 1041, 1609,
3045, 5086, 9122, 1084, 132, 8631, 2726, 4050, 9933, 6077,
7190, 8004, 5973, 4764, 440, 8894, 5849, 9752, 1399, 6655,
8335, 1847, 2950, 4181, 9724, 3759, 8174, 2235, 1881, 2496,
5933, 4277, 5109, 8093, 983, 4591, 395, 1422, 2974, 1555,
3111, 6405, 4687, 5484, 3255, 1451, 2506, 1227, 8897, 7534,
9090, 9924, 3978, 5011, 6119, 2369, 186, 9137, 7792, 6633,
4879, 7644, 9013, 4732, 7058, 3901, 965, 7443, 275, 3815,
5171, 6294, 7967, 7128, 5503, 8466, 4178, 9705, 2253, 694
};</t>
  </si>
  <si>
    <t>losowa 5</t>
  </si>
  <si>
    <t>int A[] = {
920, 8034, 6402, 2566, 7927, 3541, 3732, 1569, 9125, 6419,
6723, 8358, 9993, 2638, 8161, 7345, 8298, 9997, 2714, 1053,
8432, 2944, 518, 9127, 1667, 7955, 321, 1845, 4317, 6651,
9210, 1277, 4142, 7471, 8049, 8976, 2220, 5645, 6849, 7154,
4803, 9526, 1661, 2453, 202, 719, 8732, 7960, 1541, 999,
2402, 4671, 8558, 3009, 2464, 8149, 5592, 3327, 125, 5182,
6149, 981, 4786, 350, 8689, 7633, 6030, 2192, 4367, 9586,
285, 4188, 5485, 9912, 1885, 5633, 997, 950, 1822, 7341,
995, 4098, 1550, 8309, 7935, 6605, 4987, 4261, 3472, 2783,
924, 9422, 774, 3999, 5561, 187, 641, 9961, 4124, 3520
};</t>
  </si>
  <si>
    <t>losowa4</t>
  </si>
  <si>
    <t>int A[] = {
5851, 9981, 3220, 6311, 1083, 4645, 201, 9317, 1478, 7647,
7839, 5529, 1773, 9484, 3592, 4713, 740, 5469, 914, 9014,
9779, 1881, 3668, 2695, 8362, 7660, 8792, 4402, 9773, 5638,
8167, 7824, 327, 7136, 926, 1346, 6792, 3907, 5772, 9357,
5093, 4311, 6227, 4942, 442, 799, 8213, 9851, 715, 2127,
2835, 1574, 4637, 7361, 5046, 6887, 9987, 1602, 8595, 2397,
1731, 8899, 3835, 316, 7522, 4250, 1278, 5801, 2798, 4185,
971, 534, 1819, 6963, 3342, 9117, 7537, 6838, 819, 911,
7293, 2311, 9333, 8121, 5392, 4086, 157, 2796, 6166, 2725,
5021, 8095, 7550, 1924, 2408, 3813, 1487, 6761, 3635, 9814
};</t>
  </si>
  <si>
    <t>insetrion_sort edytowany</t>
  </si>
  <si>
    <t xml:space="preserve">insetrion_sort  klasyczny </t>
  </si>
  <si>
    <t xml:space="preserve">predkosc wykonania porgramu  µs </t>
  </si>
  <si>
    <t>Wiadomosc  terminala insertion_sort zmodyfikowany</t>
  </si>
  <si>
    <t>Wiadomosc  terminala insertion_sort nie zmodyfikowany</t>
  </si>
  <si>
    <t>Tablica 1 , -&gt; Czas: 4 µsPorównania: 1228, Przypisania: 772
Tablica 2 -&gt; Czas: 9 µs, Porównania: 4888, Przypisania: 2635
Tablica 3 -&gt; Czas: 9 µs, Porównania: 4916, Przypisania: 2658
Tablica 4 -&gt; Czas: 10 µs, Porównania: 4946, Przypisania: 2664
Tablica 5 -&gt; Czas: 1 µs, Porównania: 170, Przypisania: 210
Tablica 6 -&gt; Czas: 16 µs, Porównania: 9950, Przypisania: 5250
Tablica 7 -&gt; Czas: 10 µs, Porównania: 5330, Przypisania: 2856
Tablica 8 -&gt; Czas: 10 µs, Porównania: 5626, Przypisania: 3007</t>
  </si>
  <si>
    <t>Tablica 1 , -&gt; Czas: 4 µs
Porównania: 649
Przypisania: 748
Tablica 2, -&gt;Czas: 9 µs
Porównania: 2488
Przypisania: 2589
Tablica 3, -&gt;Czas: 9 µs
Porównania: 2503
Przypisania: 2606
Tablica 4, -&gt;Czas: 8 µs
Porównania: 2516
Przypisania: 2618
Tablica 5, -&gt;Czas: 1 µs
Porównania: 109
Przypisania: 208
Tablica 6, -&gt;Czas: 15 µs
Porównania: 4950
Przypisania: 5148
Tablica 7, -&gt;Czas: 10 µs
Porównania: 2707
Przypisania: 2810
Tablica 8, -&gt;Czas: 9 µs
Porównania: 2856
Przypisania: 2959</t>
  </si>
  <si>
    <t>Merge_sort edytowany</t>
  </si>
  <si>
    <t>heap_sort edytowany</t>
  </si>
  <si>
    <t>Wiadomosc  terminala Merge_sort zmodyfikowany</t>
  </si>
  <si>
    <t>Wiadomosc  terminala Merge_sort nie  zmodyfikowany</t>
  </si>
  <si>
    <t>przypisan</t>
  </si>
  <si>
    <t>przyrownan</t>
  </si>
  <si>
    <t>Merge_sort zmodifikowany ,  czas</t>
  </si>
  <si>
    <t>Merge_sort klasyczny   ,czas</t>
  </si>
  <si>
    <t>losowa 6</t>
  </si>
  <si>
    <t>losowa 7</t>
  </si>
  <si>
    <t xml:space="preserve">losowa 8 </t>
  </si>
  <si>
    <t>int A9[] = {4723,891,3344,9987,5231,1476,8218,4629,7303,2590,664,8777,9210,
5439,1452,3401,8376,672,9088,124,3120,8857,9513,4809,3752,6940,9931,2744,6376,
9822,729,1479,2084,8449,6292,4122,3979,8596,1906,2044,7501,6017,3410,4339,2108,
7433,3322,1999,6634,5690,4178,9651,8632,9981,3453,1845,7573,2673,1735,1200,8887,
1542,9122,6211,9977,2214,819,9829,3427,9378,5511,8884,9219,4170,7928,669,1278,
9115,7313,8700,6931,4173,2923,1427,6170,8830,4583,4011,7642,5703,3705,8119,1633,
9856,630,9583,2277,742,8849,2348};</t>
  </si>
  <si>
    <t>int A10[] = {7011,9962,1418,2373,6213,3439,1134,9395,6890,8329,9920,5544,7608,
5005,1598,9473,7051,2130,3629,7781,4532,2801,3415,6512,8125,142,2257,9913,7521,
4637,3059,9510,6222,8755,8883,4041,7344,5658,2020,9880,2455,1909,9845,4250,1768,
7154,991,6893,6405,8190,4518,1661,2732,9551,1377,7035,6257,4127,322,7934,2746,
6149,4481,2052,5589,9409,6224,9723,1411,7185,6566,9811,8669,491,7309,1573,5932,
9256,4721,3140,9198,3186,702,8674,6258,5950,1848,7892,2503,9516,4937,9671,373,
2298,7280,5394,8997,1678,1349,8760};</t>
  </si>
  <si>
    <t>int A11[] = {3129,8769,4158,2947,9924,7855,263,4870,880,1672,7248,3952,9242,
6551,3218,7427,5330,7726,6443,2994,5297,4384,1642,7032,8060,4762,4352,5407,6761,
6821,3775,9738,2440,3284,1687,5514,4431,2492,6898,9815,2588,6995,2065,7548,9747,
6820,3835,5840,8320,1025,2965,1898,3555,772,5004,9161,7028,3215,5639,8416,8737,
9992,1352,4531,7952,8164,2743,2034,5681,9238,8423,4280,7055,1715,885,2367,7116,
1893,9757,1425,6070,3872,2198,9989,1488,4358,4601,6108,2120,7494,3228,1563,9751,
2385,7319,6395,5462,3194,2617,1764};</t>
  </si>
  <si>
    <t>int A12[] = {986,4778,6691,4377,2920,1527,8764,3286,1752,4242,8797,6075,4115,
9322,1002,2141,5761,9428,5577,730,457,8851,7791,1973,9635,5055,8819,7736,849,
9420,6277,8158,1638,9930,2689,5878,1416,6234,5573,4146,7082,5913,2329,6438,9874,
7979,4741,3992,7627,4717,1393,9514,8236,1831,9499,4361,2700,7442,5053,1890,3677,
4140,6426,998,7007,3694,9797,5809,8411,4844,3080,7687,7352,8885,4480,7747,989,
996,6593,8159,7283,3376,4657,7776,523,8273,1659,445,7192,3748,995,9107,6232,4010,
7713,2414,9262,5934,3859,1396};</t>
  </si>
  <si>
    <t>int A13[] = {84890,51160,76013,23585,39290,15394,64272,17794,72586,18479,41073,
86569,22964,64045,80227,43514,34658,59131,87160,98641,1663,27543,91426,18431,92056,
96441,68936,85833,50579,16571,82886,99410,49328,35645,22150,45868,89069,26327,93511,
38019,57473,62525,40160,92486,99254,17950,71042,99784,26761,85515,79567,20063,84522,
5723,26844,96292,7302,80102,70397,30784,12940,26435,16762,72176,32795,9794,22209,40347,
57951,46606,86823,26964,29240,55259,74034,1525,32663,84494,78506,36069,69845,2895,5029,
32841,84832,28677,92053,91916,53867,70706,36783,6253,95661,35092,59872,43325,11536,68909,
63662,72878,31958,43170,84604,87087,27824,75915,49186,39064,26667,88147};</t>
  </si>
  <si>
    <t>specjialna lista</t>
  </si>
  <si>
    <t>srednie(bez specjialnych list)</t>
  </si>
  <si>
    <t>Merge_sort  klasyczny</t>
  </si>
  <si>
    <t>Heap_sort zmodifikowany ,  czas</t>
  </si>
  <si>
    <t>Heap_sort klasyczny   ,czas</t>
  </si>
  <si>
    <t>Insertion_sort zmodifikowany ,  czas</t>
  </si>
  <si>
    <t>Insertion_sort klasyczny   ,czas</t>
  </si>
  <si>
    <t>Merge_sort klasyczny</t>
  </si>
  <si>
    <t>Merge_sort zmodifikowany</t>
  </si>
  <si>
    <t>ilość przypisań</t>
  </si>
  <si>
    <t>zmodyfikowany Heap Sort</t>
  </si>
  <si>
    <t xml:space="preserve">orginalny Heap Sort </t>
  </si>
  <si>
    <t>ilość przyrównań</t>
  </si>
  <si>
    <t>prędkość µs</t>
  </si>
  <si>
    <t xml:space="preserve"> średnia na 10 list po 100 elemnetow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</si>
  <si>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</si>
  <si>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</si>
  <si>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</si>
  <si>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</si>
  <si>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</si>
  <si>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</si>
  <si>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</si>
  <si>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</si>
  <si>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</si>
  <si>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</si>
  <si>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</si>
  <si>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</si>
  <si>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</si>
  <si>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przypisań</t>
  </si>
  <si>
    <t>przyrównan</t>
  </si>
  <si>
    <t xml:space="preserve">Merge_sort zmodyfikowany </t>
  </si>
  <si>
    <t xml:space="preserve">Heap_sort zmodyfikowany </t>
  </si>
  <si>
    <t xml:space="preserve">Insertion_sort zmodyfikowany 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</si>
  <si>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</si>
  <si>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</si>
  <si>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</si>
  <si>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</si>
  <si>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</si>
  <si>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</si>
  <si>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</si>
  <si>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</si>
  <si>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</si>
  <si>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</si>
  <si>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</si>
  <si>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</si>
  <si>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</si>
  <si>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predkosc</t>
  </si>
  <si>
    <t>Suma operacji</t>
  </si>
  <si>
    <t>przypisań+przyrównan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</si>
</sst>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Sheet1!$T$30</c:f>
              <c:strCache>
                <c:ptCount val="1"/>
                <c:pt idx="0">
                  <c:v>Merge_sort zmodifikowany ,  czas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Sheet1!$S$31:$S$43</c:f>
              <c:strCache>
                <c:ptCount val="13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  <c:pt idx="4">
                  <c:v>L5</c:v>
                </c:pt>
                <c:pt idx="5">
                  <c:v>L6</c:v>
                </c:pt>
                <c:pt idx="6">
                  <c:v>L7</c:v>
                </c:pt>
                <c:pt idx="7">
                  <c:v>L8</c:v>
                </c:pt>
                <c:pt idx="8">
                  <c:v>L9</c:v>
                </c:pt>
                <c:pt idx="9">
                  <c:v>L10</c:v>
                </c:pt>
                <c:pt idx="10">
                  <c:v>L11</c:v>
                </c:pt>
                <c:pt idx="11">
                  <c:v>L12</c:v>
                </c:pt>
                <c:pt idx="12">
                  <c:v>L13</c:v>
                </c:pt>
              </c:strCache>
            </c:strRef>
          </c:cat>
          <c:val>
            <c:numRef>
              <c:f>Sheet1!$T$31:$T$43</c:f>
              <c:numCache>
                <c:formatCode>General</c:formatCode>
                <c:ptCount val="13"/>
                <c:pt idx="0">
                  <c:v>15</c:v>
                </c:pt>
                <c:pt idx="1">
                  <c:v>14</c:v>
                </c:pt>
                <c:pt idx="2">
                  <c:v>14</c:v>
                </c:pt>
                <c:pt idx="3">
                  <c:v>13</c:v>
                </c:pt>
                <c:pt idx="4">
                  <c:v>11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18</c:v>
                </c:pt>
                <c:pt idx="1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2E-4243-BF32-C629F1198C2A}"/>
            </c:ext>
          </c:extLst>
        </c:ser>
        <c:ser>
          <c:idx val="1"/>
          <c:order val="1"/>
          <c:tx>
            <c:strRef>
              <c:f>Sheet1!$U$30</c:f>
              <c:strCache>
                <c:ptCount val="1"/>
                <c:pt idx="0">
                  <c:v>przypisań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Sheet1!$S$31:$S$43</c:f>
              <c:strCache>
                <c:ptCount val="13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  <c:pt idx="4">
                  <c:v>L5</c:v>
                </c:pt>
                <c:pt idx="5">
                  <c:v>L6</c:v>
                </c:pt>
                <c:pt idx="6">
                  <c:v>L7</c:v>
                </c:pt>
                <c:pt idx="7">
                  <c:v>L8</c:v>
                </c:pt>
                <c:pt idx="8">
                  <c:v>L9</c:v>
                </c:pt>
                <c:pt idx="9">
                  <c:v>L10</c:v>
                </c:pt>
                <c:pt idx="10">
                  <c:v>L11</c:v>
                </c:pt>
                <c:pt idx="11">
                  <c:v>L12</c:v>
                </c:pt>
                <c:pt idx="12">
                  <c:v>L13</c:v>
                </c:pt>
              </c:strCache>
            </c:strRef>
          </c:cat>
          <c:val>
            <c:numRef>
              <c:f>Sheet1!$U$31:$U$43</c:f>
              <c:numCache>
                <c:formatCode>General</c:formatCode>
                <c:ptCount val="13"/>
                <c:pt idx="0">
                  <c:v>1786</c:v>
                </c:pt>
                <c:pt idx="1">
                  <c:v>1786</c:v>
                </c:pt>
                <c:pt idx="2">
                  <c:v>1786</c:v>
                </c:pt>
                <c:pt idx="3">
                  <c:v>1786</c:v>
                </c:pt>
                <c:pt idx="4">
                  <c:v>1786</c:v>
                </c:pt>
                <c:pt idx="5">
                  <c:v>1786</c:v>
                </c:pt>
                <c:pt idx="6">
                  <c:v>1786</c:v>
                </c:pt>
                <c:pt idx="7">
                  <c:v>1786</c:v>
                </c:pt>
                <c:pt idx="8">
                  <c:v>1786</c:v>
                </c:pt>
                <c:pt idx="9">
                  <c:v>1786</c:v>
                </c:pt>
                <c:pt idx="10">
                  <c:v>1786</c:v>
                </c:pt>
                <c:pt idx="11">
                  <c:v>1786</c:v>
                </c:pt>
                <c:pt idx="12">
                  <c:v>1786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2E-4243-BF32-C629F1198C2A}"/>
            </c:ext>
          </c:extLst>
        </c:ser>
        <c:ser>
          <c:idx val="2"/>
          <c:order val="2"/>
          <c:tx>
            <c:strRef>
              <c:f>Sheet1!$V$30</c:f>
              <c:strCache>
                <c:ptCount val="1"/>
                <c:pt idx="0">
                  <c:v>przyrównan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Sheet1!$S$31:$S$43</c:f>
              <c:strCache>
                <c:ptCount val="13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  <c:pt idx="4">
                  <c:v>L5</c:v>
                </c:pt>
                <c:pt idx="5">
                  <c:v>L6</c:v>
                </c:pt>
                <c:pt idx="6">
                  <c:v>L7</c:v>
                </c:pt>
                <c:pt idx="7">
                  <c:v>L8</c:v>
                </c:pt>
                <c:pt idx="8">
                  <c:v>L9</c:v>
                </c:pt>
                <c:pt idx="9">
                  <c:v>L10</c:v>
                </c:pt>
                <c:pt idx="10">
                  <c:v>L11</c:v>
                </c:pt>
                <c:pt idx="11">
                  <c:v>L12</c:v>
                </c:pt>
                <c:pt idx="12">
                  <c:v>L13</c:v>
                </c:pt>
              </c:strCache>
            </c:strRef>
          </c:cat>
          <c:val>
            <c:numRef>
              <c:f>Sheet1!$V$31:$V$43</c:f>
              <c:numCache>
                <c:formatCode>General</c:formatCode>
                <c:ptCount val="13"/>
                <c:pt idx="0">
                  <c:v>1619</c:v>
                </c:pt>
                <c:pt idx="1">
                  <c:v>1619</c:v>
                </c:pt>
                <c:pt idx="2">
                  <c:v>1619</c:v>
                </c:pt>
                <c:pt idx="3">
                  <c:v>1619</c:v>
                </c:pt>
                <c:pt idx="4">
                  <c:v>1619</c:v>
                </c:pt>
                <c:pt idx="5">
                  <c:v>1619</c:v>
                </c:pt>
                <c:pt idx="6">
                  <c:v>1619</c:v>
                </c:pt>
                <c:pt idx="7">
                  <c:v>1619</c:v>
                </c:pt>
                <c:pt idx="8">
                  <c:v>1619</c:v>
                </c:pt>
                <c:pt idx="9">
                  <c:v>1619</c:v>
                </c:pt>
                <c:pt idx="10">
                  <c:v>1619</c:v>
                </c:pt>
                <c:pt idx="11">
                  <c:v>1619</c:v>
                </c:pt>
                <c:pt idx="12">
                  <c:v>1619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2E-4243-BF32-C629F1198C2A}"/>
            </c:ext>
          </c:extLst>
        </c:ser>
        <c:ser>
          <c:idx val="3"/>
          <c:order val="3"/>
          <c:tx>
            <c:strRef>
              <c:f>Sheet1!$W$30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Sheet1!$S$31:$S$43</c:f>
              <c:strCache>
                <c:ptCount val="13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  <c:pt idx="4">
                  <c:v>L5</c:v>
                </c:pt>
                <c:pt idx="5">
                  <c:v>L6</c:v>
                </c:pt>
                <c:pt idx="6">
                  <c:v>L7</c:v>
                </c:pt>
                <c:pt idx="7">
                  <c:v>L8</c:v>
                </c:pt>
                <c:pt idx="8">
                  <c:v>L9</c:v>
                </c:pt>
                <c:pt idx="9">
                  <c:v>L10</c:v>
                </c:pt>
                <c:pt idx="10">
                  <c:v>L11</c:v>
                </c:pt>
                <c:pt idx="11">
                  <c:v>L12</c:v>
                </c:pt>
                <c:pt idx="12">
                  <c:v>L13</c:v>
                </c:pt>
              </c:strCache>
            </c:strRef>
          </c:cat>
          <c:val>
            <c:numRef>
              <c:f>Sheet1!$W$31:$W$43</c:f>
              <c:numCache>
                <c:formatCode>General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3-E22E-4243-BF32-C629F1198C2A}"/>
            </c:ext>
          </c:extLst>
        </c:ser>
        <c:ser>
          <c:idx val="4"/>
          <c:order val="4"/>
          <c:tx>
            <c:strRef>
              <c:f>Sheet1!$X$30</c:f>
              <c:strCache>
                <c:ptCount val="1"/>
                <c:pt idx="0">
                  <c:v>Heap_sort zmodifikowany ,  czas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Sheet1!$S$31:$S$43</c:f>
              <c:strCache>
                <c:ptCount val="13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  <c:pt idx="4">
                  <c:v>L5</c:v>
                </c:pt>
                <c:pt idx="5">
                  <c:v>L6</c:v>
                </c:pt>
                <c:pt idx="6">
                  <c:v>L7</c:v>
                </c:pt>
                <c:pt idx="7">
                  <c:v>L8</c:v>
                </c:pt>
                <c:pt idx="8">
                  <c:v>L9</c:v>
                </c:pt>
                <c:pt idx="9">
                  <c:v>L10</c:v>
                </c:pt>
                <c:pt idx="10">
                  <c:v>L11</c:v>
                </c:pt>
                <c:pt idx="11">
                  <c:v>L12</c:v>
                </c:pt>
                <c:pt idx="12">
                  <c:v>L13</c:v>
                </c:pt>
              </c:strCache>
            </c:strRef>
          </c:cat>
          <c:val>
            <c:numRef>
              <c:f>Sheet1!$X$31:$X$43</c:f>
              <c:numCache>
                <c:formatCode>General</c:formatCode>
                <c:ptCount val="13"/>
                <c:pt idx="0">
                  <c:v>16</c:v>
                </c:pt>
                <c:pt idx="1">
                  <c:v>17</c:v>
                </c:pt>
                <c:pt idx="2">
                  <c:v>17</c:v>
                </c:pt>
                <c:pt idx="3">
                  <c:v>16</c:v>
                </c:pt>
                <c:pt idx="4">
                  <c:v>22</c:v>
                </c:pt>
                <c:pt idx="5">
                  <c:v>19</c:v>
                </c:pt>
                <c:pt idx="6">
                  <c:v>16</c:v>
                </c:pt>
                <c:pt idx="7">
                  <c:v>14</c:v>
                </c:pt>
                <c:pt idx="8">
                  <c:v>15</c:v>
                </c:pt>
                <c:pt idx="9">
                  <c:v>15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2E-4243-BF32-C629F1198C2A}"/>
            </c:ext>
          </c:extLst>
        </c:ser>
        <c:ser>
          <c:idx val="5"/>
          <c:order val="5"/>
          <c:tx>
            <c:strRef>
              <c:f>Sheet1!$Y$30</c:f>
              <c:strCache>
                <c:ptCount val="1"/>
                <c:pt idx="0">
                  <c:v>przypisań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Sheet1!$S$31:$S$43</c:f>
              <c:strCache>
                <c:ptCount val="13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  <c:pt idx="4">
                  <c:v>L5</c:v>
                </c:pt>
                <c:pt idx="5">
                  <c:v>L6</c:v>
                </c:pt>
                <c:pt idx="6">
                  <c:v>L7</c:v>
                </c:pt>
                <c:pt idx="7">
                  <c:v>L8</c:v>
                </c:pt>
                <c:pt idx="8">
                  <c:v>L9</c:v>
                </c:pt>
                <c:pt idx="9">
                  <c:v>L10</c:v>
                </c:pt>
                <c:pt idx="10">
                  <c:v>L11</c:v>
                </c:pt>
                <c:pt idx="11">
                  <c:v>L12</c:v>
                </c:pt>
                <c:pt idx="12">
                  <c:v>L13</c:v>
                </c:pt>
              </c:strCache>
            </c:strRef>
          </c:cat>
          <c:val>
            <c:numRef>
              <c:f>Sheet1!$Y$31:$Y$43</c:f>
              <c:numCache>
                <c:formatCode>General</c:formatCode>
                <c:ptCount val="13"/>
                <c:pt idx="0">
                  <c:v>3691</c:v>
                </c:pt>
                <c:pt idx="1">
                  <c:v>3646</c:v>
                </c:pt>
                <c:pt idx="2">
                  <c:v>3703</c:v>
                </c:pt>
                <c:pt idx="3">
                  <c:v>3705</c:v>
                </c:pt>
                <c:pt idx="4">
                  <c:v>4158</c:v>
                </c:pt>
                <c:pt idx="5">
                  <c:v>3323</c:v>
                </c:pt>
                <c:pt idx="6">
                  <c:v>3651</c:v>
                </c:pt>
                <c:pt idx="7">
                  <c:v>3649</c:v>
                </c:pt>
                <c:pt idx="8">
                  <c:v>3720</c:v>
                </c:pt>
                <c:pt idx="9">
                  <c:v>3678</c:v>
                </c:pt>
                <c:pt idx="10">
                  <c:v>3755</c:v>
                </c:pt>
                <c:pt idx="11">
                  <c:v>3809</c:v>
                </c:pt>
                <c:pt idx="12">
                  <c:v>3783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2E-4243-BF32-C629F1198C2A}"/>
            </c:ext>
          </c:extLst>
        </c:ser>
        <c:ser>
          <c:idx val="6"/>
          <c:order val="6"/>
          <c:tx>
            <c:strRef>
              <c:f>Sheet1!$Z$30</c:f>
              <c:strCache>
                <c:ptCount val="1"/>
                <c:pt idx="0">
                  <c:v>przyrównan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Sheet1!$S$31:$S$43</c:f>
              <c:strCache>
                <c:ptCount val="13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  <c:pt idx="4">
                  <c:v>L5</c:v>
                </c:pt>
                <c:pt idx="5">
                  <c:v>L6</c:v>
                </c:pt>
                <c:pt idx="6">
                  <c:v>L7</c:v>
                </c:pt>
                <c:pt idx="7">
                  <c:v>L8</c:v>
                </c:pt>
                <c:pt idx="8">
                  <c:v>L9</c:v>
                </c:pt>
                <c:pt idx="9">
                  <c:v>L10</c:v>
                </c:pt>
                <c:pt idx="10">
                  <c:v>L11</c:v>
                </c:pt>
                <c:pt idx="11">
                  <c:v>L12</c:v>
                </c:pt>
                <c:pt idx="12">
                  <c:v>L13</c:v>
                </c:pt>
              </c:strCache>
            </c:strRef>
          </c:cat>
          <c:val>
            <c:numRef>
              <c:f>Sheet1!$Z$31:$Z$43</c:f>
              <c:numCache>
                <c:formatCode>General</c:formatCode>
                <c:ptCount val="13"/>
                <c:pt idx="0">
                  <c:v>2961</c:v>
                </c:pt>
                <c:pt idx="1">
                  <c:v>2938</c:v>
                </c:pt>
                <c:pt idx="2">
                  <c:v>2993</c:v>
                </c:pt>
                <c:pt idx="3">
                  <c:v>2981</c:v>
                </c:pt>
                <c:pt idx="4">
                  <c:v>3217</c:v>
                </c:pt>
                <c:pt idx="5">
                  <c:v>2785</c:v>
                </c:pt>
                <c:pt idx="6">
                  <c:v>2950</c:v>
                </c:pt>
                <c:pt idx="7">
                  <c:v>2927</c:v>
                </c:pt>
                <c:pt idx="8">
                  <c:v>2992</c:v>
                </c:pt>
                <c:pt idx="9">
                  <c:v>2955</c:v>
                </c:pt>
                <c:pt idx="10">
                  <c:v>2998</c:v>
                </c:pt>
                <c:pt idx="11">
                  <c:v>3039</c:v>
                </c:pt>
                <c:pt idx="12">
                  <c:v>3032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2E-4243-BF32-C629F1198C2A}"/>
            </c:ext>
          </c:extLst>
        </c:ser>
        <c:ser>
          <c:idx val="7"/>
          <c:order val="7"/>
          <c:tx>
            <c:strRef>
              <c:f>Sheet1!$AA$30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Sheet1!$S$31:$S$43</c:f>
              <c:strCache>
                <c:ptCount val="13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  <c:pt idx="4">
                  <c:v>L5</c:v>
                </c:pt>
                <c:pt idx="5">
                  <c:v>L6</c:v>
                </c:pt>
                <c:pt idx="6">
                  <c:v>L7</c:v>
                </c:pt>
                <c:pt idx="7">
                  <c:v>L8</c:v>
                </c:pt>
                <c:pt idx="8">
                  <c:v>L9</c:v>
                </c:pt>
                <c:pt idx="9">
                  <c:v>L10</c:v>
                </c:pt>
                <c:pt idx="10">
                  <c:v>L11</c:v>
                </c:pt>
                <c:pt idx="11">
                  <c:v>L12</c:v>
                </c:pt>
                <c:pt idx="12">
                  <c:v>L13</c:v>
                </c:pt>
              </c:strCache>
            </c:strRef>
          </c:cat>
          <c:val>
            <c:numRef>
              <c:f>Sheet1!$AA$31:$AA$43</c:f>
              <c:numCache>
                <c:formatCode>General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7-E22E-4243-BF32-C629F1198C2A}"/>
            </c:ext>
          </c:extLst>
        </c:ser>
        <c:ser>
          <c:idx val="8"/>
          <c:order val="8"/>
          <c:tx>
            <c:strRef>
              <c:f>Sheet1!$AB$30</c:f>
              <c:strCache>
                <c:ptCount val="1"/>
                <c:pt idx="0">
                  <c:v>Insertion_sort zmodifikowany ,  czas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Sheet1!$S$31:$S$43</c:f>
              <c:strCache>
                <c:ptCount val="13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  <c:pt idx="4">
                  <c:v>L5</c:v>
                </c:pt>
                <c:pt idx="5">
                  <c:v>L6</c:v>
                </c:pt>
                <c:pt idx="6">
                  <c:v>L7</c:v>
                </c:pt>
                <c:pt idx="7">
                  <c:v>L8</c:v>
                </c:pt>
                <c:pt idx="8">
                  <c:v>L9</c:v>
                </c:pt>
                <c:pt idx="9">
                  <c:v>L10</c:v>
                </c:pt>
                <c:pt idx="10">
                  <c:v>L11</c:v>
                </c:pt>
                <c:pt idx="11">
                  <c:v>L12</c:v>
                </c:pt>
                <c:pt idx="12">
                  <c:v>L13</c:v>
                </c:pt>
              </c:strCache>
            </c:strRef>
          </c:cat>
          <c:val>
            <c:numRef>
              <c:f>Sheet1!$AB$31:$AB$43</c:f>
              <c:numCache>
                <c:formatCode>General</c:formatCode>
                <c:ptCount val="13"/>
                <c:pt idx="0">
                  <c:v>2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0</c:v>
                </c:pt>
                <c:pt idx="5">
                  <c:v>19</c:v>
                </c:pt>
                <c:pt idx="6">
                  <c:v>13</c:v>
                </c:pt>
                <c:pt idx="7">
                  <c:v>13</c:v>
                </c:pt>
                <c:pt idx="8">
                  <c:v>12</c:v>
                </c:pt>
                <c:pt idx="9">
                  <c:v>13</c:v>
                </c:pt>
                <c:pt idx="10">
                  <c:v>13</c:v>
                </c:pt>
                <c:pt idx="11">
                  <c:v>10</c:v>
                </c:pt>
                <c:pt idx="1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22E-4243-BF32-C629F1198C2A}"/>
            </c:ext>
          </c:extLst>
        </c:ser>
        <c:ser>
          <c:idx val="9"/>
          <c:order val="9"/>
          <c:tx>
            <c:strRef>
              <c:f>Sheet1!$AC$30</c:f>
              <c:strCache>
                <c:ptCount val="1"/>
                <c:pt idx="0">
                  <c:v>przypisań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Sheet1!$S$31:$S$43</c:f>
              <c:strCache>
                <c:ptCount val="13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  <c:pt idx="4">
                  <c:v>L5</c:v>
                </c:pt>
                <c:pt idx="5">
                  <c:v>L6</c:v>
                </c:pt>
                <c:pt idx="6">
                  <c:v>L7</c:v>
                </c:pt>
                <c:pt idx="7">
                  <c:v>L8</c:v>
                </c:pt>
                <c:pt idx="8">
                  <c:v>L9</c:v>
                </c:pt>
                <c:pt idx="9">
                  <c:v>L10</c:v>
                </c:pt>
                <c:pt idx="10">
                  <c:v>L11</c:v>
                </c:pt>
                <c:pt idx="11">
                  <c:v>L12</c:v>
                </c:pt>
                <c:pt idx="12">
                  <c:v>L13</c:v>
                </c:pt>
              </c:strCache>
            </c:strRef>
          </c:cat>
          <c:val>
            <c:numRef>
              <c:f>Sheet1!$AC$31:$AC$43</c:f>
              <c:numCache>
                <c:formatCode>General</c:formatCode>
                <c:ptCount val="13"/>
                <c:pt idx="0">
                  <c:v>772</c:v>
                </c:pt>
                <c:pt idx="1">
                  <c:v>2635</c:v>
                </c:pt>
                <c:pt idx="2">
                  <c:v>2658</c:v>
                </c:pt>
                <c:pt idx="3">
                  <c:v>2664</c:v>
                </c:pt>
                <c:pt idx="4">
                  <c:v>210</c:v>
                </c:pt>
                <c:pt idx="5">
                  <c:v>5250</c:v>
                </c:pt>
                <c:pt idx="6">
                  <c:v>2856</c:v>
                </c:pt>
                <c:pt idx="7">
                  <c:v>3007</c:v>
                </c:pt>
                <c:pt idx="8">
                  <c:v>2672</c:v>
                </c:pt>
                <c:pt idx="9">
                  <c:v>2800</c:v>
                </c:pt>
                <c:pt idx="10">
                  <c:v>2841</c:v>
                </c:pt>
                <c:pt idx="11">
                  <c:v>2728</c:v>
                </c:pt>
                <c:pt idx="12">
                  <c:v>2825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22E-4243-BF32-C629F1198C2A}"/>
            </c:ext>
          </c:extLst>
        </c:ser>
        <c:ser>
          <c:idx val="10"/>
          <c:order val="10"/>
          <c:tx>
            <c:strRef>
              <c:f>Sheet1!$AD$30</c:f>
              <c:strCache>
                <c:ptCount val="1"/>
                <c:pt idx="0">
                  <c:v>przyrównan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Sheet1!$S$31:$S$43</c:f>
              <c:strCache>
                <c:ptCount val="13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  <c:pt idx="4">
                  <c:v>L5</c:v>
                </c:pt>
                <c:pt idx="5">
                  <c:v>L6</c:v>
                </c:pt>
                <c:pt idx="6">
                  <c:v>L7</c:v>
                </c:pt>
                <c:pt idx="7">
                  <c:v>L8</c:v>
                </c:pt>
                <c:pt idx="8">
                  <c:v>L9</c:v>
                </c:pt>
                <c:pt idx="9">
                  <c:v>L10</c:v>
                </c:pt>
                <c:pt idx="10">
                  <c:v>L11</c:v>
                </c:pt>
                <c:pt idx="11">
                  <c:v>L12</c:v>
                </c:pt>
                <c:pt idx="12">
                  <c:v>L13</c:v>
                </c:pt>
              </c:strCache>
            </c:strRef>
          </c:cat>
          <c:val>
            <c:numRef>
              <c:f>Sheet1!$AD$31:$AD$43</c:f>
              <c:numCache>
                <c:formatCode>General</c:formatCode>
                <c:ptCount val="13"/>
                <c:pt idx="0">
                  <c:v>1228</c:v>
                </c:pt>
                <c:pt idx="1">
                  <c:v>4888</c:v>
                </c:pt>
                <c:pt idx="2">
                  <c:v>4916</c:v>
                </c:pt>
                <c:pt idx="3">
                  <c:v>4946</c:v>
                </c:pt>
                <c:pt idx="4">
                  <c:v>170</c:v>
                </c:pt>
                <c:pt idx="5">
                  <c:v>9950</c:v>
                </c:pt>
                <c:pt idx="6">
                  <c:v>5330</c:v>
                </c:pt>
                <c:pt idx="7">
                  <c:v>5626</c:v>
                </c:pt>
                <c:pt idx="8">
                  <c:v>4932</c:v>
                </c:pt>
                <c:pt idx="9">
                  <c:v>5224</c:v>
                </c:pt>
                <c:pt idx="10">
                  <c:v>5288</c:v>
                </c:pt>
                <c:pt idx="11">
                  <c:v>5044</c:v>
                </c:pt>
                <c:pt idx="12">
                  <c:v>5244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22E-4243-BF32-C629F1198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1394719"/>
        <c:axId val="771405279"/>
      </c:barChart>
      <c:catAx>
        <c:axId val="771394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405279"/>
        <c:crosses val="autoZero"/>
        <c:auto val="1"/>
        <c:lblAlgn val="ctr"/>
        <c:lblOffset val="100"/>
        <c:noMultiLvlLbl val="0"/>
      </c:catAx>
      <c:valAx>
        <c:axId val="77140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394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Sheet1!$B$52</c:f>
              <c:strCache>
                <c:ptCount val="1"/>
                <c:pt idx="0">
                  <c:v>ilość przypisań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Sheet1!$C$51:$D$51</c:f>
              <c:strCache>
                <c:ptCount val="2"/>
                <c:pt idx="0">
                  <c:v>Merge_sort klasyczny</c:v>
                </c:pt>
                <c:pt idx="1">
                  <c:v>Merge_sort zmodifikowany</c:v>
                </c:pt>
              </c:strCache>
            </c:strRef>
          </c:cat>
          <c:val>
            <c:numRef>
              <c:f>Sheet1!$C$52:$D$52</c:f>
              <c:numCache>
                <c:formatCode>General</c:formatCode>
                <c:ptCount val="2"/>
                <c:pt idx="0">
                  <c:v>2511</c:v>
                </c:pt>
                <c:pt idx="1">
                  <c:v>1786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F6-438C-89DE-A84AC1E13E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1402879"/>
        <c:axId val="771403359"/>
      </c:barChart>
      <c:catAx>
        <c:axId val="77140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403359"/>
        <c:crosses val="autoZero"/>
        <c:auto val="1"/>
        <c:lblAlgn val="ctr"/>
        <c:lblOffset val="100"/>
        <c:noMultiLvlLbl val="0"/>
      </c:catAx>
      <c:valAx>
        <c:axId val="77140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4028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Prędkości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Sheet1!$T$49</c:f>
              <c:strCache>
                <c:ptCount val="1"/>
                <c:pt idx="0">
                  <c:v>Merge_sort zmodyfikowany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Sheet1!$S$50:$S$62</c:f>
              <c:strCache>
                <c:ptCount val="13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  <c:pt idx="4">
                  <c:v>L5</c:v>
                </c:pt>
                <c:pt idx="5">
                  <c:v>L6</c:v>
                </c:pt>
                <c:pt idx="6">
                  <c:v>L7</c:v>
                </c:pt>
                <c:pt idx="7">
                  <c:v>L8</c:v>
                </c:pt>
                <c:pt idx="8">
                  <c:v>L9</c:v>
                </c:pt>
                <c:pt idx="9">
                  <c:v>L10</c:v>
                </c:pt>
                <c:pt idx="10">
                  <c:v>L11</c:v>
                </c:pt>
                <c:pt idx="11">
                  <c:v>L12</c:v>
                </c:pt>
                <c:pt idx="12">
                  <c:v>L13</c:v>
                </c:pt>
              </c:strCache>
            </c:strRef>
          </c:cat>
          <c:val>
            <c:numRef>
              <c:f>Sheet1!$T$50:$T$62</c:f>
              <c:numCache>
                <c:formatCode>General</c:formatCode>
                <c:ptCount val="13"/>
                <c:pt idx="0">
                  <c:v>15</c:v>
                </c:pt>
                <c:pt idx="1">
                  <c:v>14</c:v>
                </c:pt>
                <c:pt idx="2">
                  <c:v>14</c:v>
                </c:pt>
                <c:pt idx="3">
                  <c:v>13</c:v>
                </c:pt>
                <c:pt idx="4">
                  <c:v>11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18</c:v>
                </c:pt>
                <c:pt idx="12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62-432D-9AD8-25057262873E}"/>
            </c:ext>
          </c:extLst>
        </c:ser>
        <c:ser>
          <c:idx val="1"/>
          <c:order val="1"/>
          <c:tx>
            <c:strRef>
              <c:f>Sheet1!$U$49</c:f>
              <c:strCache>
                <c:ptCount val="1"/>
                <c:pt idx="0">
                  <c:v>Heap_sort zmodyfikowany 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Sheet1!$S$50:$S$62</c:f>
              <c:strCache>
                <c:ptCount val="13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  <c:pt idx="4">
                  <c:v>L5</c:v>
                </c:pt>
                <c:pt idx="5">
                  <c:v>L6</c:v>
                </c:pt>
                <c:pt idx="6">
                  <c:v>L7</c:v>
                </c:pt>
                <c:pt idx="7">
                  <c:v>L8</c:v>
                </c:pt>
                <c:pt idx="8">
                  <c:v>L9</c:v>
                </c:pt>
                <c:pt idx="9">
                  <c:v>L10</c:v>
                </c:pt>
                <c:pt idx="10">
                  <c:v>L11</c:v>
                </c:pt>
                <c:pt idx="11">
                  <c:v>L12</c:v>
                </c:pt>
                <c:pt idx="12">
                  <c:v>L13</c:v>
                </c:pt>
              </c:strCache>
            </c:strRef>
          </c:cat>
          <c:val>
            <c:numRef>
              <c:f>Sheet1!$U$50:$U$62</c:f>
              <c:numCache>
                <c:formatCode>General</c:formatCode>
                <c:ptCount val="13"/>
                <c:pt idx="0">
                  <c:v>16</c:v>
                </c:pt>
                <c:pt idx="1">
                  <c:v>17</c:v>
                </c:pt>
                <c:pt idx="2">
                  <c:v>17</c:v>
                </c:pt>
                <c:pt idx="3">
                  <c:v>16</c:v>
                </c:pt>
                <c:pt idx="4">
                  <c:v>22</c:v>
                </c:pt>
                <c:pt idx="5">
                  <c:v>19</c:v>
                </c:pt>
                <c:pt idx="6">
                  <c:v>16</c:v>
                </c:pt>
                <c:pt idx="7">
                  <c:v>14</c:v>
                </c:pt>
                <c:pt idx="8">
                  <c:v>15</c:v>
                </c:pt>
                <c:pt idx="9">
                  <c:v>15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62-432D-9AD8-25057262873E}"/>
            </c:ext>
          </c:extLst>
        </c:ser>
        <c:ser>
          <c:idx val="2"/>
          <c:order val="2"/>
          <c:tx>
            <c:strRef>
              <c:f>Sheet1!$V$49</c:f>
              <c:strCache>
                <c:ptCount val="1"/>
                <c:pt idx="0">
                  <c:v>Insertion_sort zmodyfikowany 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Sheet1!$S$50:$S$62</c:f>
              <c:strCache>
                <c:ptCount val="13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  <c:pt idx="4">
                  <c:v>L5</c:v>
                </c:pt>
                <c:pt idx="5">
                  <c:v>L6</c:v>
                </c:pt>
                <c:pt idx="6">
                  <c:v>L7</c:v>
                </c:pt>
                <c:pt idx="7">
                  <c:v>L8</c:v>
                </c:pt>
                <c:pt idx="8">
                  <c:v>L9</c:v>
                </c:pt>
                <c:pt idx="9">
                  <c:v>L10</c:v>
                </c:pt>
                <c:pt idx="10">
                  <c:v>L11</c:v>
                </c:pt>
                <c:pt idx="11">
                  <c:v>L12</c:v>
                </c:pt>
                <c:pt idx="12">
                  <c:v>L13</c:v>
                </c:pt>
              </c:strCache>
            </c:strRef>
          </c:cat>
          <c:val>
            <c:numRef>
              <c:f>Sheet1!$V$50:$V$62</c:f>
              <c:numCache>
                <c:formatCode>General</c:formatCode>
                <c:ptCount val="13"/>
                <c:pt idx="0">
                  <c:v>2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0</c:v>
                </c:pt>
                <c:pt idx="5">
                  <c:v>19</c:v>
                </c:pt>
                <c:pt idx="6">
                  <c:v>13</c:v>
                </c:pt>
                <c:pt idx="7">
                  <c:v>13</c:v>
                </c:pt>
                <c:pt idx="8">
                  <c:v>12</c:v>
                </c:pt>
                <c:pt idx="9">
                  <c:v>13</c:v>
                </c:pt>
                <c:pt idx="10">
                  <c:v>13</c:v>
                </c:pt>
                <c:pt idx="11">
                  <c:v>10</c:v>
                </c:pt>
                <c:pt idx="12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62-432D-9AD8-250572628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1168671"/>
        <c:axId val="1221183071"/>
      </c:lineChart>
      <c:catAx>
        <c:axId val="122116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183071"/>
        <c:crosses val="autoZero"/>
        <c:auto val="1"/>
        <c:lblAlgn val="ctr"/>
        <c:lblOffset val="100"/>
        <c:noMultiLvlLbl val="0"/>
      </c:catAx>
      <c:valAx>
        <c:axId val="122118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168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Suma</a:t>
            </a:r>
            <a:r>
              <a:rPr lang="pl-PL" baseline="0"/>
              <a:t> operacji (przypisań+przyrównan)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Sheet1!$T$64</c:f>
              <c:strCache>
                <c:ptCount val="1"/>
                <c:pt idx="0">
                  <c:v>Merge_sort zmodyfikowany 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Sheet1!$S$65:$S$77</c:f>
              <c:strCache>
                <c:ptCount val="13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  <c:pt idx="4">
                  <c:v>L5</c:v>
                </c:pt>
                <c:pt idx="5">
                  <c:v>L6</c:v>
                </c:pt>
                <c:pt idx="6">
                  <c:v>L7</c:v>
                </c:pt>
                <c:pt idx="7">
                  <c:v>L8</c:v>
                </c:pt>
                <c:pt idx="8">
                  <c:v>L9</c:v>
                </c:pt>
                <c:pt idx="9">
                  <c:v>L10</c:v>
                </c:pt>
                <c:pt idx="10">
                  <c:v>L11</c:v>
                </c:pt>
                <c:pt idx="11">
                  <c:v>L12</c:v>
                </c:pt>
                <c:pt idx="12">
                  <c:v>L13</c:v>
                </c:pt>
              </c:strCache>
            </c:strRef>
          </c:cat>
          <c:val>
            <c:numRef>
              <c:f>Sheet1!$T$65:$T$77</c:f>
              <c:numCache>
                <c:formatCode>General</c:formatCode>
                <c:ptCount val="13"/>
                <c:pt idx="0">
                  <c:v>3405</c:v>
                </c:pt>
                <c:pt idx="1">
                  <c:v>3405</c:v>
                </c:pt>
                <c:pt idx="2">
                  <c:v>3405</c:v>
                </c:pt>
                <c:pt idx="3">
                  <c:v>3405</c:v>
                </c:pt>
                <c:pt idx="4">
                  <c:v>3405</c:v>
                </c:pt>
                <c:pt idx="5">
                  <c:v>3405</c:v>
                </c:pt>
                <c:pt idx="6">
                  <c:v>3405</c:v>
                </c:pt>
                <c:pt idx="7">
                  <c:v>3405</c:v>
                </c:pt>
                <c:pt idx="8">
                  <c:v>3405</c:v>
                </c:pt>
                <c:pt idx="9">
                  <c:v>3405</c:v>
                </c:pt>
                <c:pt idx="10">
                  <c:v>3405</c:v>
                </c:pt>
                <c:pt idx="11">
                  <c:v>3405</c:v>
                </c:pt>
                <c:pt idx="12">
                  <c:v>3405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B6-4A5C-8FCA-335E4A6BAA3E}"/>
            </c:ext>
          </c:extLst>
        </c:ser>
        <c:ser>
          <c:idx val="1"/>
          <c:order val="1"/>
          <c:tx>
            <c:strRef>
              <c:f>Sheet1!$U$64</c:f>
              <c:strCache>
                <c:ptCount val="1"/>
                <c:pt idx="0">
                  <c:v>Heap_sort zmodyfikowany 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Sheet1!$S$65:$S$77</c:f>
              <c:strCache>
                <c:ptCount val="13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  <c:pt idx="4">
                  <c:v>L5</c:v>
                </c:pt>
                <c:pt idx="5">
                  <c:v>L6</c:v>
                </c:pt>
                <c:pt idx="6">
                  <c:v>L7</c:v>
                </c:pt>
                <c:pt idx="7">
                  <c:v>L8</c:v>
                </c:pt>
                <c:pt idx="8">
                  <c:v>L9</c:v>
                </c:pt>
                <c:pt idx="9">
                  <c:v>L10</c:v>
                </c:pt>
                <c:pt idx="10">
                  <c:v>L11</c:v>
                </c:pt>
                <c:pt idx="11">
                  <c:v>L12</c:v>
                </c:pt>
                <c:pt idx="12">
                  <c:v>L13</c:v>
                </c:pt>
              </c:strCache>
            </c:strRef>
          </c:cat>
          <c:val>
            <c:numRef>
              <c:f>Sheet1!$U$65:$U$77</c:f>
              <c:numCache>
                <c:formatCode>General</c:formatCode>
                <c:ptCount val="13"/>
                <c:pt idx="0">
                  <c:v>6652</c:v>
                </c:pt>
                <c:pt idx="1">
                  <c:v>6584</c:v>
                </c:pt>
                <c:pt idx="2">
                  <c:v>6696</c:v>
                </c:pt>
                <c:pt idx="3">
                  <c:v>6686</c:v>
                </c:pt>
                <c:pt idx="4">
                  <c:v>7375</c:v>
                </c:pt>
                <c:pt idx="5">
                  <c:v>6108</c:v>
                </c:pt>
                <c:pt idx="6">
                  <c:v>6601</c:v>
                </c:pt>
                <c:pt idx="7">
                  <c:v>6576</c:v>
                </c:pt>
                <c:pt idx="8">
                  <c:v>6712</c:v>
                </c:pt>
                <c:pt idx="9">
                  <c:v>6633</c:v>
                </c:pt>
                <c:pt idx="10">
                  <c:v>6753</c:v>
                </c:pt>
                <c:pt idx="11">
                  <c:v>6848</c:v>
                </c:pt>
                <c:pt idx="12">
                  <c:v>6815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B6-4A5C-8FCA-335E4A6BAA3E}"/>
            </c:ext>
          </c:extLst>
        </c:ser>
        <c:ser>
          <c:idx val="2"/>
          <c:order val="2"/>
          <c:tx>
            <c:strRef>
              <c:f>Sheet1!$V$64</c:f>
              <c:strCache>
                <c:ptCount val="1"/>
                <c:pt idx="0">
                  <c:v>Insertion_sort zmodyfikowany 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Sheet1!$S$65:$S$77</c:f>
              <c:strCache>
                <c:ptCount val="13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  <c:pt idx="4">
                  <c:v>L5</c:v>
                </c:pt>
                <c:pt idx="5">
                  <c:v>L6</c:v>
                </c:pt>
                <c:pt idx="6">
                  <c:v>L7</c:v>
                </c:pt>
                <c:pt idx="7">
                  <c:v>L8</c:v>
                </c:pt>
                <c:pt idx="8">
                  <c:v>L9</c:v>
                </c:pt>
                <c:pt idx="9">
                  <c:v>L10</c:v>
                </c:pt>
                <c:pt idx="10">
                  <c:v>L11</c:v>
                </c:pt>
                <c:pt idx="11">
                  <c:v>L12</c:v>
                </c:pt>
                <c:pt idx="12">
                  <c:v>L13</c:v>
                </c:pt>
              </c:strCache>
            </c:strRef>
          </c:cat>
          <c:val>
            <c:numRef>
              <c:f>Sheet1!$V$65:$V$77</c:f>
              <c:numCache>
                <c:formatCode>General</c:formatCode>
                <c:ptCount val="13"/>
                <c:pt idx="0">
                  <c:v>2000</c:v>
                </c:pt>
                <c:pt idx="1">
                  <c:v>7523</c:v>
                </c:pt>
                <c:pt idx="2">
                  <c:v>7574</c:v>
                </c:pt>
                <c:pt idx="3">
                  <c:v>7610</c:v>
                </c:pt>
                <c:pt idx="4">
                  <c:v>380</c:v>
                </c:pt>
                <c:pt idx="5">
                  <c:v>15200</c:v>
                </c:pt>
                <c:pt idx="6">
                  <c:v>8186</c:v>
                </c:pt>
                <c:pt idx="7">
                  <c:v>8633</c:v>
                </c:pt>
                <c:pt idx="8">
                  <c:v>7604</c:v>
                </c:pt>
                <c:pt idx="9">
                  <c:v>8024</c:v>
                </c:pt>
                <c:pt idx="10">
                  <c:v>8129</c:v>
                </c:pt>
                <c:pt idx="11">
                  <c:v>7772</c:v>
                </c:pt>
                <c:pt idx="12">
                  <c:v>8069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B6-4A5C-8FCA-335E4A6BA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1147071"/>
        <c:axId val="1221152831"/>
      </c:lineChart>
      <c:catAx>
        <c:axId val="122114707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152831"/>
        <c:crosses val="autoZero"/>
        <c:auto val="1"/>
        <c:lblAlgn val="ctr"/>
        <c:lblOffset val="100"/>
        <c:noMultiLvlLbl val="0"/>
      </c:catAx>
      <c:valAx>
        <c:axId val="122115283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147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306E4DA-6FB9-4AC8-8143-39A4DD8EB622}">
  <sheetPr/>
  <sheetViews>
    <sheetView zoomScale="9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273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B49A0F-4B7A-7AF1-B2B1-8F3FD650688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1194954</xdr:colOff>
      <xdr:row>48</xdr:row>
      <xdr:rowOff>36568</xdr:rowOff>
    </xdr:from>
    <xdr:to>
      <xdr:col>7</xdr:col>
      <xdr:colOff>1077191</xdr:colOff>
      <xdr:row>63</xdr:row>
      <xdr:rowOff>23379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EEC947-9336-A684-B3E6-574B4CE870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772325</xdr:colOff>
      <xdr:row>46</xdr:row>
      <xdr:rowOff>99930</xdr:rowOff>
    </xdr:from>
    <xdr:to>
      <xdr:col>12</xdr:col>
      <xdr:colOff>803462</xdr:colOff>
      <xdr:row>65</xdr:row>
      <xdr:rowOff>142793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92B0DD-E95A-FC1F-E96A-2D64115579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1219693</xdr:colOff>
      <xdr:row>28</xdr:row>
      <xdr:rowOff>89312</xdr:rowOff>
    </xdr:from>
    <xdr:to>
      <xdr:col>15</xdr:col>
      <xdr:colOff>356260</xdr:colOff>
      <xdr:row>44</xdr:row>
      <xdr:rowOff>141020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B4F3EE-8541-20AB-1006-1FD14E2802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5968B-A487-4A5B-8EEC-1B6CE2CD3CF6}">
  <dimension ref="A3:AD77"/>
  <sheetViews>
    <sheetView tabSelected="1" topLeftCell="D34" zoomScaleNormal="100" workbookViewId="0">
      <selection activeCell="L20" sqref="L20"/>
    </sheetView>
  </sheetViews>
  <sheetFormatPr defaultRowHeight="15" x14ac:dyDescent="0.25"/>
  <cols>
    <col min="1" max="1" width="29.85546875" bestFit="1" customWidth="1"/>
    <col min="2" max="2" width="13.140625" customWidth="1"/>
    <col min="3" max="3" width="10.5703125" customWidth="1"/>
    <col min="4" max="4" width="26.140625" customWidth="1"/>
    <col min="5" max="5" width="23.28515625" bestFit="1" customWidth="1"/>
    <col min="6" max="6" width="29.28515625" bestFit="1" customWidth="1"/>
    <col min="7" max="7" width="26.140625" bestFit="1" customWidth="1"/>
    <col min="8" max="8" width="20.85546875" bestFit="1" customWidth="1"/>
    <col min="9" max="9" width="26.7109375" customWidth="1"/>
    <col min="10" max="10" width="19.42578125" bestFit="1" customWidth="1"/>
    <col min="11" max="11" width="22.42578125" bestFit="1" customWidth="1"/>
    <col min="12" max="13" width="26.140625" bestFit="1" customWidth="1"/>
    <col min="14" max="14" width="19.5703125" bestFit="1" customWidth="1"/>
    <col min="15" max="15" width="22.85546875" bestFit="1" customWidth="1"/>
    <col min="16" max="16" width="19.5703125" bestFit="1" customWidth="1"/>
    <col min="17" max="17" width="20.140625" bestFit="1" customWidth="1"/>
    <col min="18" max="18" width="28.5703125" bestFit="1" customWidth="1"/>
    <col min="20" max="20" width="47.85546875" customWidth="1"/>
    <col min="21" max="21" width="52.140625" bestFit="1" customWidth="1"/>
    <col min="22" max="22" width="28.7109375" customWidth="1"/>
    <col min="23" max="23" width="46.28515625" bestFit="1" customWidth="1"/>
    <col min="24" max="24" width="49.85546875" bestFit="1" customWidth="1"/>
  </cols>
  <sheetData>
    <row r="3" spans="1:24" x14ac:dyDescent="0.25">
      <c r="F3" s="2" t="s">
        <v>72</v>
      </c>
      <c r="G3" t="s">
        <v>73</v>
      </c>
      <c r="H3" t="s">
        <v>74</v>
      </c>
      <c r="I3" t="s">
        <v>75</v>
      </c>
      <c r="J3" s="2" t="s">
        <v>76</v>
      </c>
      <c r="K3" s="2" t="s">
        <v>77</v>
      </c>
      <c r="L3" t="s">
        <v>78</v>
      </c>
      <c r="M3" t="s">
        <v>79</v>
      </c>
      <c r="N3" t="s">
        <v>80</v>
      </c>
      <c r="O3" t="s">
        <v>81</v>
      </c>
      <c r="P3" t="s">
        <v>82</v>
      </c>
      <c r="Q3" t="s">
        <v>83</v>
      </c>
      <c r="R3" t="s">
        <v>84</v>
      </c>
    </row>
    <row r="4" spans="1:24" x14ac:dyDescent="0.25">
      <c r="F4" t="s">
        <v>7</v>
      </c>
      <c r="G4" t="s">
        <v>8</v>
      </c>
      <c r="H4" t="s">
        <v>9</v>
      </c>
      <c r="I4" t="s">
        <v>10</v>
      </c>
      <c r="J4" t="s">
        <v>2</v>
      </c>
      <c r="K4" t="s">
        <v>5</v>
      </c>
      <c r="L4" t="s">
        <v>14</v>
      </c>
      <c r="M4" t="s">
        <v>12</v>
      </c>
      <c r="N4" t="s">
        <v>31</v>
      </c>
      <c r="O4" t="s">
        <v>32</v>
      </c>
      <c r="P4" t="s">
        <v>33</v>
      </c>
      <c r="T4" t="s">
        <v>19</v>
      </c>
      <c r="U4" t="s">
        <v>20</v>
      </c>
      <c r="W4" t="s">
        <v>25</v>
      </c>
      <c r="X4" t="s">
        <v>26</v>
      </c>
    </row>
    <row r="5" spans="1:24" ht="405" x14ac:dyDescent="0.25">
      <c r="F5" s="1" t="s">
        <v>6</v>
      </c>
      <c r="G5" s="1" t="s">
        <v>11</v>
      </c>
      <c r="H5" s="1" t="s">
        <v>0</v>
      </c>
      <c r="I5" s="1" t="s">
        <v>1</v>
      </c>
      <c r="J5" s="1" t="s">
        <v>3</v>
      </c>
      <c r="K5" s="1" t="s">
        <v>4</v>
      </c>
      <c r="L5" s="1" t="s">
        <v>15</v>
      </c>
      <c r="M5" s="1" t="s">
        <v>13</v>
      </c>
      <c r="N5" s="1" t="s">
        <v>34</v>
      </c>
      <c r="O5" s="1" t="s">
        <v>35</v>
      </c>
      <c r="P5" s="1" t="s">
        <v>36</v>
      </c>
      <c r="Q5" s="1" t="s">
        <v>37</v>
      </c>
      <c r="R5" s="1" t="s">
        <v>38</v>
      </c>
      <c r="T5" s="1" t="s">
        <v>21</v>
      </c>
      <c r="U5" s="1" t="s">
        <v>22</v>
      </c>
    </row>
    <row r="6" spans="1:24" x14ac:dyDescent="0.25">
      <c r="F6" t="s">
        <v>18</v>
      </c>
    </row>
    <row r="7" spans="1:24" x14ac:dyDescent="0.25">
      <c r="E7" t="s">
        <v>16</v>
      </c>
      <c r="F7">
        <v>2</v>
      </c>
      <c r="G7">
        <v>8</v>
      </c>
      <c r="H7">
        <v>8</v>
      </c>
      <c r="I7">
        <v>8</v>
      </c>
      <c r="J7">
        <v>0</v>
      </c>
      <c r="K7">
        <v>19</v>
      </c>
      <c r="L7">
        <v>13</v>
      </c>
      <c r="M7">
        <v>13</v>
      </c>
      <c r="N7">
        <v>12</v>
      </c>
      <c r="O7">
        <v>13</v>
      </c>
      <c r="P7">
        <v>13</v>
      </c>
      <c r="Q7">
        <v>10</v>
      </c>
      <c r="R7">
        <v>13</v>
      </c>
    </row>
    <row r="8" spans="1:24" x14ac:dyDescent="0.25">
      <c r="E8" t="s">
        <v>17</v>
      </c>
      <c r="F8">
        <v>3</v>
      </c>
      <c r="G8">
        <v>11</v>
      </c>
      <c r="H8">
        <v>9</v>
      </c>
      <c r="I8">
        <v>12</v>
      </c>
      <c r="J8">
        <v>0</v>
      </c>
      <c r="K8">
        <v>20</v>
      </c>
      <c r="L8">
        <v>10</v>
      </c>
      <c r="M8">
        <v>11</v>
      </c>
      <c r="N8">
        <v>10</v>
      </c>
      <c r="O8">
        <v>10</v>
      </c>
      <c r="P8">
        <v>11</v>
      </c>
      <c r="Q8">
        <v>9</v>
      </c>
      <c r="R8">
        <v>10</v>
      </c>
    </row>
    <row r="10" spans="1:24" x14ac:dyDescent="0.25">
      <c r="E10" t="s">
        <v>23</v>
      </c>
      <c r="F10">
        <v>15</v>
      </c>
      <c r="G10">
        <v>14</v>
      </c>
      <c r="H10">
        <v>14</v>
      </c>
      <c r="I10">
        <v>13</v>
      </c>
      <c r="J10">
        <v>11</v>
      </c>
      <c r="K10">
        <v>10</v>
      </c>
      <c r="L10">
        <v>11</v>
      </c>
      <c r="M10">
        <v>12</v>
      </c>
      <c r="N10">
        <v>13</v>
      </c>
      <c r="O10">
        <v>13</v>
      </c>
      <c r="P10">
        <v>14</v>
      </c>
      <c r="Q10">
        <v>18</v>
      </c>
      <c r="R10">
        <v>15</v>
      </c>
    </row>
    <row r="11" spans="1:24" x14ac:dyDescent="0.25">
      <c r="E11" t="s">
        <v>41</v>
      </c>
      <c r="F11">
        <v>14</v>
      </c>
      <c r="G11">
        <v>11</v>
      </c>
      <c r="H11">
        <v>14</v>
      </c>
      <c r="I11">
        <v>13</v>
      </c>
      <c r="J11">
        <v>10</v>
      </c>
      <c r="K11">
        <v>19</v>
      </c>
      <c r="L11">
        <v>14</v>
      </c>
      <c r="M11">
        <v>14</v>
      </c>
      <c r="N11">
        <v>14</v>
      </c>
      <c r="O11">
        <v>14</v>
      </c>
      <c r="P11">
        <v>14</v>
      </c>
      <c r="Q11">
        <v>19</v>
      </c>
      <c r="R11">
        <v>14</v>
      </c>
    </row>
    <row r="13" spans="1:24" x14ac:dyDescent="0.25">
      <c r="E13" t="s">
        <v>24</v>
      </c>
      <c r="F13">
        <v>16</v>
      </c>
      <c r="G13">
        <v>17</v>
      </c>
      <c r="H13">
        <v>17</v>
      </c>
      <c r="I13">
        <v>16</v>
      </c>
      <c r="J13">
        <v>22</v>
      </c>
      <c r="K13">
        <v>19</v>
      </c>
      <c r="L13">
        <v>16</v>
      </c>
      <c r="M13">
        <v>14</v>
      </c>
      <c r="N13">
        <v>15</v>
      </c>
      <c r="O13">
        <v>15</v>
      </c>
      <c r="P13">
        <v>16</v>
      </c>
      <c r="Q13">
        <v>14</v>
      </c>
      <c r="R13">
        <v>14</v>
      </c>
    </row>
    <row r="14" spans="1:24" x14ac:dyDescent="0.25">
      <c r="E14" t="s">
        <v>24</v>
      </c>
      <c r="F14">
        <v>11</v>
      </c>
      <c r="G14">
        <v>11</v>
      </c>
      <c r="H14">
        <v>14</v>
      </c>
      <c r="I14">
        <v>14</v>
      </c>
      <c r="J14">
        <v>12</v>
      </c>
      <c r="K14">
        <v>11</v>
      </c>
      <c r="L14">
        <v>13</v>
      </c>
      <c r="M14">
        <v>13</v>
      </c>
      <c r="N14">
        <v>13</v>
      </c>
      <c r="O14">
        <v>13</v>
      </c>
      <c r="P14">
        <v>14</v>
      </c>
      <c r="Q14">
        <v>12</v>
      </c>
      <c r="R14">
        <v>13</v>
      </c>
    </row>
    <row r="15" spans="1:24" x14ac:dyDescent="0.25">
      <c r="A15" s="2" t="s">
        <v>39</v>
      </c>
    </row>
    <row r="16" spans="1:24" x14ac:dyDescent="0.25">
      <c r="A16" t="s">
        <v>29</v>
      </c>
      <c r="B16" t="s">
        <v>27</v>
      </c>
      <c r="C16" t="s">
        <v>28</v>
      </c>
      <c r="D16" s="4"/>
      <c r="E16" t="s">
        <v>42</v>
      </c>
      <c r="I16" t="s">
        <v>44</v>
      </c>
    </row>
    <row r="17" spans="1:30" x14ac:dyDescent="0.25">
      <c r="A17" s="2">
        <v>15</v>
      </c>
      <c r="B17" s="2">
        <v>1786</v>
      </c>
      <c r="C17" s="2">
        <v>1619</v>
      </c>
      <c r="D17" s="2"/>
      <c r="E17" s="2">
        <v>16</v>
      </c>
      <c r="F17" s="2">
        <v>3691</v>
      </c>
      <c r="G17" s="2">
        <v>2961</v>
      </c>
      <c r="H17" s="2"/>
      <c r="I17" s="2">
        <v>2</v>
      </c>
      <c r="J17" s="2">
        <v>772</v>
      </c>
      <c r="K17" s="2">
        <v>1228</v>
      </c>
      <c r="L17" s="4"/>
    </row>
    <row r="18" spans="1:30" x14ac:dyDescent="0.25">
      <c r="A18">
        <v>14</v>
      </c>
      <c r="B18">
        <v>1786</v>
      </c>
      <c r="C18">
        <v>1619</v>
      </c>
      <c r="E18">
        <v>17</v>
      </c>
      <c r="F18">
        <v>3646</v>
      </c>
      <c r="G18">
        <v>2938</v>
      </c>
      <c r="I18">
        <v>8</v>
      </c>
      <c r="J18">
        <v>2635</v>
      </c>
      <c r="K18">
        <v>4888</v>
      </c>
      <c r="L18" s="4"/>
    </row>
    <row r="19" spans="1:30" x14ac:dyDescent="0.25">
      <c r="A19">
        <v>14</v>
      </c>
      <c r="B19">
        <v>1786</v>
      </c>
      <c r="C19">
        <v>1619</v>
      </c>
      <c r="E19">
        <v>17</v>
      </c>
      <c r="F19">
        <v>3703</v>
      </c>
      <c r="G19">
        <v>2993</v>
      </c>
      <c r="I19">
        <v>8</v>
      </c>
      <c r="J19">
        <v>2658</v>
      </c>
      <c r="K19">
        <v>4916</v>
      </c>
      <c r="L19" s="4"/>
    </row>
    <row r="20" spans="1:30" x14ac:dyDescent="0.25">
      <c r="A20">
        <v>13</v>
      </c>
      <c r="B20">
        <v>1786</v>
      </c>
      <c r="C20">
        <v>1619</v>
      </c>
      <c r="E20">
        <v>16</v>
      </c>
      <c r="F20">
        <v>3705</v>
      </c>
      <c r="G20">
        <v>2981</v>
      </c>
      <c r="I20">
        <v>8</v>
      </c>
      <c r="J20">
        <v>2664</v>
      </c>
      <c r="K20">
        <v>4946</v>
      </c>
      <c r="L20" s="4"/>
    </row>
    <row r="21" spans="1:30" x14ac:dyDescent="0.25">
      <c r="A21" s="2">
        <v>11</v>
      </c>
      <c r="B21" s="2">
        <v>1786</v>
      </c>
      <c r="C21" s="2">
        <v>1619</v>
      </c>
      <c r="D21" s="2"/>
      <c r="E21" s="2">
        <v>22</v>
      </c>
      <c r="F21" s="2">
        <v>4158</v>
      </c>
      <c r="G21" s="2">
        <v>3217</v>
      </c>
      <c r="H21" s="2"/>
      <c r="I21" s="2">
        <v>0</v>
      </c>
      <c r="J21" s="2">
        <v>210</v>
      </c>
      <c r="K21" s="2">
        <v>170</v>
      </c>
      <c r="L21" s="4"/>
    </row>
    <row r="22" spans="1:30" x14ac:dyDescent="0.25">
      <c r="A22" s="2">
        <v>10</v>
      </c>
      <c r="B22" s="2">
        <v>1786</v>
      </c>
      <c r="C22" s="2">
        <v>1619</v>
      </c>
      <c r="D22" s="2"/>
      <c r="E22" s="2">
        <v>19</v>
      </c>
      <c r="F22" s="2">
        <v>3323</v>
      </c>
      <c r="G22" s="2">
        <v>2785</v>
      </c>
      <c r="H22" s="2"/>
      <c r="I22" s="2">
        <v>19</v>
      </c>
      <c r="J22" s="2">
        <v>5250</v>
      </c>
      <c r="K22" s="2">
        <v>9950</v>
      </c>
      <c r="L22" s="4"/>
    </row>
    <row r="23" spans="1:30" x14ac:dyDescent="0.25">
      <c r="A23">
        <v>11</v>
      </c>
      <c r="B23">
        <v>1786</v>
      </c>
      <c r="C23">
        <v>1619</v>
      </c>
      <c r="E23">
        <v>16</v>
      </c>
      <c r="F23">
        <v>3651</v>
      </c>
      <c r="G23">
        <v>2950</v>
      </c>
      <c r="I23">
        <v>13</v>
      </c>
      <c r="J23">
        <v>2856</v>
      </c>
      <c r="K23">
        <v>5330</v>
      </c>
      <c r="L23" s="4"/>
    </row>
    <row r="24" spans="1:30" x14ac:dyDescent="0.25">
      <c r="A24">
        <v>12</v>
      </c>
      <c r="B24">
        <v>1786</v>
      </c>
      <c r="C24">
        <v>1619</v>
      </c>
      <c r="E24">
        <v>14</v>
      </c>
      <c r="F24">
        <v>3649</v>
      </c>
      <c r="G24">
        <v>2927</v>
      </c>
      <c r="I24">
        <v>13</v>
      </c>
      <c r="J24">
        <v>3007</v>
      </c>
      <c r="K24">
        <v>5626</v>
      </c>
    </row>
    <row r="25" spans="1:30" x14ac:dyDescent="0.25">
      <c r="A25">
        <v>13</v>
      </c>
      <c r="B25">
        <v>1786</v>
      </c>
      <c r="C25">
        <v>1619</v>
      </c>
      <c r="E25">
        <v>15</v>
      </c>
      <c r="F25">
        <v>3720</v>
      </c>
      <c r="G25">
        <v>2992</v>
      </c>
      <c r="I25">
        <v>12</v>
      </c>
      <c r="J25">
        <v>2672</v>
      </c>
      <c r="K25">
        <v>4932</v>
      </c>
    </row>
    <row r="26" spans="1:30" x14ac:dyDescent="0.25">
      <c r="A26">
        <v>13</v>
      </c>
      <c r="B26">
        <v>1786</v>
      </c>
      <c r="C26">
        <v>1619</v>
      </c>
      <c r="E26">
        <v>15</v>
      </c>
      <c r="F26">
        <v>3678</v>
      </c>
      <c r="G26">
        <v>2955</v>
      </c>
      <c r="I26">
        <v>13</v>
      </c>
      <c r="J26">
        <v>2800</v>
      </c>
      <c r="K26">
        <v>5224</v>
      </c>
    </row>
    <row r="27" spans="1:30" x14ac:dyDescent="0.25">
      <c r="A27">
        <v>14</v>
      </c>
      <c r="B27">
        <v>1786</v>
      </c>
      <c r="C27">
        <v>1619</v>
      </c>
      <c r="E27">
        <v>16</v>
      </c>
      <c r="F27">
        <v>3755</v>
      </c>
      <c r="G27">
        <v>2998</v>
      </c>
      <c r="I27">
        <v>13</v>
      </c>
      <c r="J27">
        <v>2841</v>
      </c>
      <c r="K27">
        <v>5288</v>
      </c>
    </row>
    <row r="28" spans="1:30" x14ac:dyDescent="0.25">
      <c r="A28">
        <v>18</v>
      </c>
      <c r="B28">
        <v>1786</v>
      </c>
      <c r="C28">
        <v>1619</v>
      </c>
      <c r="E28">
        <v>14</v>
      </c>
      <c r="F28">
        <v>3809</v>
      </c>
      <c r="G28">
        <v>3039</v>
      </c>
      <c r="I28">
        <v>10</v>
      </c>
      <c r="J28">
        <v>2728</v>
      </c>
      <c r="K28">
        <v>5044</v>
      </c>
      <c r="U28" t="s">
        <v>87</v>
      </c>
    </row>
    <row r="29" spans="1:30" x14ac:dyDescent="0.25">
      <c r="A29">
        <v>15</v>
      </c>
      <c r="B29">
        <v>1786</v>
      </c>
      <c r="C29">
        <v>1619</v>
      </c>
      <c r="E29">
        <v>14</v>
      </c>
      <c r="F29">
        <v>3783</v>
      </c>
      <c r="G29">
        <v>3032</v>
      </c>
      <c r="I29">
        <v>13</v>
      </c>
      <c r="J29">
        <v>2825</v>
      </c>
      <c r="K29">
        <v>5244</v>
      </c>
    </row>
    <row r="30" spans="1:30" x14ac:dyDescent="0.25">
      <c r="A30" s="3">
        <f>(SUM(A18:A20)+SUM(A23:A29))/10</f>
        <v>13.7</v>
      </c>
      <c r="B30" s="3">
        <f>(SUM(B18:B20)+SUM(B23:B29))/10</f>
        <v>1786</v>
      </c>
      <c r="C30" s="3">
        <f>(SUM(C18:C20)+SUM(C23:C29))/10</f>
        <v>1619</v>
      </c>
      <c r="D30" s="3" t="s">
        <v>40</v>
      </c>
      <c r="E30" s="3">
        <f t="shared" ref="E30:G30" si="0">(SUM(E18:E20)+SUM(E23:E29))/10</f>
        <v>15.4</v>
      </c>
      <c r="F30" s="3">
        <f t="shared" si="0"/>
        <v>3709.9</v>
      </c>
      <c r="G30" s="3">
        <f t="shared" si="0"/>
        <v>2980.5</v>
      </c>
      <c r="H30" s="3"/>
      <c r="I30" s="3">
        <f t="shared" ref="I30" si="1">(SUM(I18:I20)+SUM(I23:I29))/10</f>
        <v>11.1</v>
      </c>
      <c r="J30" s="3">
        <f t="shared" ref="J30" si="2">(SUM(J18:J20)+SUM(J23:J29))/10</f>
        <v>2768.6</v>
      </c>
      <c r="K30" s="3">
        <f t="shared" ref="K30" si="3">(SUM(K18:K20)+SUM(K23:K29))/10</f>
        <v>5143.8</v>
      </c>
      <c r="T30" t="s">
        <v>29</v>
      </c>
      <c r="U30" t="s">
        <v>67</v>
      </c>
      <c r="V30" t="s">
        <v>68</v>
      </c>
      <c r="W30" s="4"/>
      <c r="X30" t="s">
        <v>42</v>
      </c>
      <c r="Y30" t="s">
        <v>67</v>
      </c>
      <c r="Z30" t="s">
        <v>68</v>
      </c>
      <c r="AB30" t="s">
        <v>44</v>
      </c>
      <c r="AC30" t="s">
        <v>67</v>
      </c>
      <c r="AD30" t="s">
        <v>68</v>
      </c>
    </row>
    <row r="31" spans="1:30" x14ac:dyDescent="0.25">
      <c r="A31" t="s">
        <v>30</v>
      </c>
      <c r="B31" t="s">
        <v>27</v>
      </c>
      <c r="C31" t="s">
        <v>28</v>
      </c>
      <c r="E31" t="s">
        <v>43</v>
      </c>
      <c r="I31" t="s">
        <v>45</v>
      </c>
      <c r="S31" t="s">
        <v>54</v>
      </c>
      <c r="T31" s="2">
        <v>15</v>
      </c>
      <c r="U31" s="2">
        <v>1786</v>
      </c>
      <c r="V31" s="2">
        <v>1619</v>
      </c>
      <c r="W31" s="2"/>
      <c r="X31" s="2">
        <v>16</v>
      </c>
      <c r="Y31" s="2">
        <v>3691</v>
      </c>
      <c r="Z31" s="2">
        <v>2961</v>
      </c>
      <c r="AA31" s="2"/>
      <c r="AB31" s="2">
        <v>2</v>
      </c>
      <c r="AC31" s="2">
        <v>772</v>
      </c>
      <c r="AD31" s="2">
        <v>1228</v>
      </c>
    </row>
    <row r="32" spans="1:30" x14ac:dyDescent="0.25">
      <c r="A32" s="2">
        <v>14</v>
      </c>
      <c r="B32" s="2">
        <v>2511</v>
      </c>
      <c r="C32" s="2">
        <v>1642</v>
      </c>
      <c r="D32" s="2"/>
      <c r="E32" s="2">
        <v>11</v>
      </c>
      <c r="F32" s="2">
        <v>4242</v>
      </c>
      <c r="G32" s="2">
        <v>2978</v>
      </c>
      <c r="H32" s="2"/>
      <c r="I32" s="2">
        <v>3</v>
      </c>
      <c r="J32" s="2">
        <v>850</v>
      </c>
      <c r="K32" s="2">
        <v>1200</v>
      </c>
      <c r="L32" s="4"/>
      <c r="S32" t="s">
        <v>55</v>
      </c>
      <c r="T32">
        <v>14</v>
      </c>
      <c r="U32">
        <v>1786</v>
      </c>
      <c r="V32">
        <v>1619</v>
      </c>
      <c r="X32">
        <v>17</v>
      </c>
      <c r="Y32">
        <v>3646</v>
      </c>
      <c r="Z32">
        <v>2938</v>
      </c>
      <c r="AB32">
        <v>8</v>
      </c>
      <c r="AC32">
        <v>2635</v>
      </c>
      <c r="AD32">
        <v>4888</v>
      </c>
    </row>
    <row r="33" spans="1:30" x14ac:dyDescent="0.25">
      <c r="A33">
        <v>11</v>
      </c>
      <c r="B33">
        <v>2511</v>
      </c>
      <c r="C33">
        <v>1642</v>
      </c>
      <c r="E33">
        <v>11</v>
      </c>
      <c r="F33">
        <v>4434</v>
      </c>
      <c r="G33">
        <v>3084</v>
      </c>
      <c r="I33">
        <v>11</v>
      </c>
      <c r="J33">
        <v>2691</v>
      </c>
      <c r="K33">
        <v>4882</v>
      </c>
      <c r="L33" s="4"/>
      <c r="S33" t="s">
        <v>56</v>
      </c>
      <c r="T33">
        <v>14</v>
      </c>
      <c r="U33">
        <v>1786</v>
      </c>
      <c r="V33">
        <v>1619</v>
      </c>
      <c r="X33">
        <v>17</v>
      </c>
      <c r="Y33">
        <v>3703</v>
      </c>
      <c r="Z33">
        <v>2993</v>
      </c>
      <c r="AB33">
        <v>8</v>
      </c>
      <c r="AC33">
        <v>2658</v>
      </c>
      <c r="AD33">
        <v>4916</v>
      </c>
    </row>
    <row r="34" spans="1:30" x14ac:dyDescent="0.25">
      <c r="A34">
        <v>14</v>
      </c>
      <c r="B34">
        <v>2511</v>
      </c>
      <c r="C34">
        <v>1642</v>
      </c>
      <c r="E34">
        <v>14</v>
      </c>
      <c r="F34">
        <v>4346</v>
      </c>
      <c r="G34">
        <v>3037</v>
      </c>
      <c r="I34">
        <v>9</v>
      </c>
      <c r="J34">
        <v>2708</v>
      </c>
      <c r="K34">
        <v>4916</v>
      </c>
      <c r="L34" s="4"/>
      <c r="S34" t="s">
        <v>57</v>
      </c>
      <c r="T34">
        <v>13</v>
      </c>
      <c r="U34">
        <v>1786</v>
      </c>
      <c r="V34">
        <v>1619</v>
      </c>
      <c r="X34">
        <v>16</v>
      </c>
      <c r="Y34">
        <v>3705</v>
      </c>
      <c r="Z34">
        <v>2981</v>
      </c>
      <c r="AB34">
        <v>8</v>
      </c>
      <c r="AC34">
        <v>2664</v>
      </c>
      <c r="AD34">
        <v>4946</v>
      </c>
    </row>
    <row r="35" spans="1:30" x14ac:dyDescent="0.25">
      <c r="A35">
        <v>13</v>
      </c>
      <c r="B35">
        <v>2511</v>
      </c>
      <c r="C35">
        <v>1642</v>
      </c>
      <c r="E35">
        <v>14</v>
      </c>
      <c r="F35">
        <v>4388</v>
      </c>
      <c r="G35">
        <v>3054</v>
      </c>
      <c r="I35">
        <v>12</v>
      </c>
      <c r="J35">
        <v>2720</v>
      </c>
      <c r="K35">
        <v>4940</v>
      </c>
      <c r="L35" s="4"/>
      <c r="S35" t="s">
        <v>58</v>
      </c>
      <c r="T35" s="2">
        <v>11</v>
      </c>
      <c r="U35" s="2">
        <v>1786</v>
      </c>
      <c r="V35" s="2">
        <v>1619</v>
      </c>
      <c r="W35" s="2"/>
      <c r="X35" s="2">
        <v>22</v>
      </c>
      <c r="Y35" s="2">
        <v>4158</v>
      </c>
      <c r="Z35" s="2">
        <v>3217</v>
      </c>
      <c r="AA35" s="2"/>
      <c r="AB35" s="2">
        <v>0</v>
      </c>
      <c r="AC35" s="2">
        <v>210</v>
      </c>
      <c r="AD35" s="2">
        <v>170</v>
      </c>
    </row>
    <row r="36" spans="1:30" x14ac:dyDescent="0.25">
      <c r="A36" s="2">
        <v>10</v>
      </c>
      <c r="B36" s="2">
        <v>2511</v>
      </c>
      <c r="C36" s="2">
        <v>1642</v>
      </c>
      <c r="D36" s="2"/>
      <c r="E36" s="2">
        <v>12</v>
      </c>
      <c r="F36" s="2">
        <v>4884</v>
      </c>
      <c r="G36" s="2">
        <v>3301</v>
      </c>
      <c r="H36" s="2"/>
      <c r="I36" s="2">
        <v>0</v>
      </c>
      <c r="J36" s="2">
        <v>310</v>
      </c>
      <c r="K36" s="2">
        <v>120</v>
      </c>
      <c r="L36" s="4"/>
      <c r="S36" t="s">
        <v>59</v>
      </c>
      <c r="T36" s="2">
        <v>10</v>
      </c>
      <c r="U36" s="2">
        <v>1786</v>
      </c>
      <c r="V36" s="2">
        <v>1619</v>
      </c>
      <c r="W36" s="2"/>
      <c r="X36" s="2">
        <v>19</v>
      </c>
      <c r="Y36" s="2">
        <v>3323</v>
      </c>
      <c r="Z36" s="2">
        <v>2785</v>
      </c>
      <c r="AA36" s="2"/>
      <c r="AB36" s="2">
        <v>19</v>
      </c>
      <c r="AC36" s="2">
        <v>5250</v>
      </c>
      <c r="AD36" s="2">
        <v>9950</v>
      </c>
    </row>
    <row r="37" spans="1:30" x14ac:dyDescent="0.25">
      <c r="A37" s="2">
        <v>19</v>
      </c>
      <c r="B37" s="2">
        <v>2511</v>
      </c>
      <c r="C37" s="2">
        <v>1642</v>
      </c>
      <c r="D37" s="2"/>
      <c r="E37" s="2">
        <v>11</v>
      </c>
      <c r="F37" s="2">
        <v>3906</v>
      </c>
      <c r="G37" s="2">
        <v>2793</v>
      </c>
      <c r="H37" s="2"/>
      <c r="I37" s="2">
        <v>20</v>
      </c>
      <c r="J37" s="2">
        <v>5250</v>
      </c>
      <c r="K37" s="2">
        <v>10000</v>
      </c>
      <c r="L37" s="4"/>
      <c r="S37" t="s">
        <v>60</v>
      </c>
      <c r="T37">
        <v>11</v>
      </c>
      <c r="U37">
        <v>1786</v>
      </c>
      <c r="V37">
        <v>1619</v>
      </c>
      <c r="X37">
        <v>16</v>
      </c>
      <c r="Y37">
        <v>3651</v>
      </c>
      <c r="Z37">
        <v>2950</v>
      </c>
      <c r="AB37">
        <v>13</v>
      </c>
      <c r="AC37">
        <v>2856</v>
      </c>
      <c r="AD37">
        <v>5330</v>
      </c>
    </row>
    <row r="38" spans="1:30" x14ac:dyDescent="0.25">
      <c r="A38">
        <v>14</v>
      </c>
      <c r="B38">
        <v>2511</v>
      </c>
      <c r="C38">
        <v>1642</v>
      </c>
      <c r="E38">
        <v>13</v>
      </c>
      <c r="F38">
        <v>4310</v>
      </c>
      <c r="G38">
        <v>3019</v>
      </c>
      <c r="I38">
        <v>10</v>
      </c>
      <c r="J38">
        <v>2912</v>
      </c>
      <c r="K38">
        <v>5324</v>
      </c>
      <c r="L38" s="4"/>
      <c r="S38" t="s">
        <v>61</v>
      </c>
      <c r="T38">
        <v>12</v>
      </c>
      <c r="U38">
        <v>1786</v>
      </c>
      <c r="V38">
        <v>1619</v>
      </c>
      <c r="X38">
        <v>14</v>
      </c>
      <c r="Y38">
        <v>3649</v>
      </c>
      <c r="Z38">
        <v>2927</v>
      </c>
      <c r="AB38">
        <v>13</v>
      </c>
      <c r="AC38">
        <v>3007</v>
      </c>
      <c r="AD38">
        <v>5626</v>
      </c>
    </row>
    <row r="39" spans="1:30" x14ac:dyDescent="0.25">
      <c r="A39">
        <v>14</v>
      </c>
      <c r="B39">
        <v>2511</v>
      </c>
      <c r="C39">
        <v>1642</v>
      </c>
      <c r="E39">
        <v>13</v>
      </c>
      <c r="F39">
        <v>4333</v>
      </c>
      <c r="G39">
        <v>3040</v>
      </c>
      <c r="I39">
        <v>11</v>
      </c>
      <c r="J39">
        <v>3061</v>
      </c>
      <c r="K39">
        <v>5622</v>
      </c>
      <c r="S39" t="s">
        <v>62</v>
      </c>
      <c r="T39">
        <v>13</v>
      </c>
      <c r="U39">
        <v>1786</v>
      </c>
      <c r="V39">
        <v>1619</v>
      </c>
      <c r="X39">
        <v>15</v>
      </c>
      <c r="Y39">
        <v>3720</v>
      </c>
      <c r="Z39">
        <v>2992</v>
      </c>
      <c r="AB39">
        <v>12</v>
      </c>
      <c r="AC39">
        <v>2672</v>
      </c>
      <c r="AD39">
        <v>4932</v>
      </c>
    </row>
    <row r="40" spans="1:30" x14ac:dyDescent="0.25">
      <c r="A40">
        <v>14</v>
      </c>
      <c r="B40">
        <v>2511</v>
      </c>
      <c r="C40">
        <v>1642</v>
      </c>
      <c r="E40">
        <v>13</v>
      </c>
      <c r="F40">
        <v>4473</v>
      </c>
      <c r="G40">
        <v>3108</v>
      </c>
      <c r="I40">
        <v>10</v>
      </c>
      <c r="J40">
        <v>2718</v>
      </c>
      <c r="K40">
        <v>4936</v>
      </c>
      <c r="S40" t="s">
        <v>63</v>
      </c>
      <c r="T40">
        <v>13</v>
      </c>
      <c r="U40">
        <v>1786</v>
      </c>
      <c r="V40">
        <v>1619</v>
      </c>
      <c r="X40">
        <v>15</v>
      </c>
      <c r="Y40">
        <v>3678</v>
      </c>
      <c r="Z40">
        <v>2955</v>
      </c>
      <c r="AB40">
        <v>13</v>
      </c>
      <c r="AC40">
        <v>2800</v>
      </c>
      <c r="AD40">
        <v>5224</v>
      </c>
    </row>
    <row r="41" spans="1:30" x14ac:dyDescent="0.25">
      <c r="A41">
        <v>14</v>
      </c>
      <c r="B41">
        <v>2511</v>
      </c>
      <c r="C41">
        <v>1642</v>
      </c>
      <c r="E41">
        <v>13</v>
      </c>
      <c r="F41">
        <v>4415</v>
      </c>
      <c r="G41">
        <v>3081</v>
      </c>
      <c r="I41">
        <v>10</v>
      </c>
      <c r="J41">
        <v>2858</v>
      </c>
      <c r="K41">
        <v>5216</v>
      </c>
      <c r="S41" t="s">
        <v>64</v>
      </c>
      <c r="T41">
        <v>14</v>
      </c>
      <c r="U41">
        <v>1786</v>
      </c>
      <c r="V41">
        <v>1619</v>
      </c>
      <c r="X41">
        <v>16</v>
      </c>
      <c r="Y41">
        <v>3755</v>
      </c>
      <c r="Z41">
        <v>2998</v>
      </c>
      <c r="AB41">
        <v>13</v>
      </c>
      <c r="AC41">
        <v>2841</v>
      </c>
      <c r="AD41">
        <v>5288</v>
      </c>
    </row>
    <row r="42" spans="1:30" x14ac:dyDescent="0.25">
      <c r="A42">
        <v>14</v>
      </c>
      <c r="B42">
        <v>2511</v>
      </c>
      <c r="C42">
        <v>1642</v>
      </c>
      <c r="E42">
        <v>14</v>
      </c>
      <c r="F42">
        <v>4353</v>
      </c>
      <c r="G42">
        <v>3039</v>
      </c>
      <c r="I42">
        <v>11</v>
      </c>
      <c r="J42">
        <v>2893</v>
      </c>
      <c r="K42">
        <v>5286</v>
      </c>
      <c r="S42" t="s">
        <v>65</v>
      </c>
      <c r="T42">
        <v>18</v>
      </c>
      <c r="U42">
        <v>1786</v>
      </c>
      <c r="V42">
        <v>1619</v>
      </c>
      <c r="X42">
        <v>14</v>
      </c>
      <c r="Y42">
        <v>3809</v>
      </c>
      <c r="Z42">
        <v>3039</v>
      </c>
      <c r="AB42">
        <v>10</v>
      </c>
      <c r="AC42">
        <v>2728</v>
      </c>
      <c r="AD42">
        <v>5044</v>
      </c>
    </row>
    <row r="43" spans="1:30" x14ac:dyDescent="0.25">
      <c r="A43">
        <v>19</v>
      </c>
      <c r="B43">
        <v>2511</v>
      </c>
      <c r="C43">
        <v>1642</v>
      </c>
      <c r="E43">
        <v>12</v>
      </c>
      <c r="F43">
        <v>4417</v>
      </c>
      <c r="G43">
        <v>3072</v>
      </c>
      <c r="I43">
        <v>9</v>
      </c>
      <c r="J43">
        <v>2774</v>
      </c>
      <c r="K43">
        <v>5048</v>
      </c>
      <c r="S43" t="s">
        <v>66</v>
      </c>
      <c r="T43">
        <v>15</v>
      </c>
      <c r="U43">
        <v>1786</v>
      </c>
      <c r="V43">
        <v>1619</v>
      </c>
      <c r="X43">
        <v>14</v>
      </c>
      <c r="Y43">
        <v>3783</v>
      </c>
      <c r="Z43">
        <v>3032</v>
      </c>
      <c r="AB43">
        <v>13</v>
      </c>
      <c r="AC43">
        <v>2825</v>
      </c>
      <c r="AD43">
        <v>5244</v>
      </c>
    </row>
    <row r="44" spans="1:30" x14ac:dyDescent="0.25">
      <c r="A44">
        <v>14</v>
      </c>
      <c r="B44">
        <v>2511</v>
      </c>
      <c r="C44">
        <v>1642</v>
      </c>
      <c r="E44">
        <v>13</v>
      </c>
      <c r="F44">
        <v>4323</v>
      </c>
      <c r="G44">
        <v>3029</v>
      </c>
      <c r="I44">
        <v>10</v>
      </c>
      <c r="J44">
        <v>2873</v>
      </c>
      <c r="K44">
        <v>5246</v>
      </c>
      <c r="T44" s="3">
        <f>(SUM(T32:T34)+SUM(T37:T43))/10</f>
        <v>13.7</v>
      </c>
      <c r="U44" s="3">
        <f>(SUM(U32:U34)+SUM(U37:U43))/10</f>
        <v>1786</v>
      </c>
      <c r="V44" s="3">
        <f>(SUM(V32:V34)+SUM(V37:V43))/10</f>
        <v>1619</v>
      </c>
      <c r="W44" s="3" t="s">
        <v>40</v>
      </c>
      <c r="X44" s="3">
        <f t="shared" ref="X44" si="4">(SUM(X32:X34)+SUM(X37:X43))/10</f>
        <v>15.4</v>
      </c>
      <c r="Y44" s="3">
        <f t="shared" ref="Y44" si="5">(SUM(Y32:Y34)+SUM(Y37:Y43))/10</f>
        <v>3709.9</v>
      </c>
      <c r="Z44" s="3">
        <f t="shared" ref="Z44" si="6">(SUM(Z32:Z34)+SUM(Z37:Z43))/10</f>
        <v>2980.5</v>
      </c>
      <c r="AA44" s="3"/>
      <c r="AB44" s="3">
        <f t="shared" ref="AB44" si="7">(SUM(AB32:AB34)+SUM(AB37:AB43))/10</f>
        <v>11.1</v>
      </c>
      <c r="AC44" s="3">
        <f t="shared" ref="AC44" si="8">(SUM(AC32:AC34)+SUM(AC37:AC43))/10</f>
        <v>2768.6</v>
      </c>
      <c r="AD44" s="3">
        <f t="shared" ref="AD44" si="9">(SUM(AD32:AD34)+SUM(AD37:AD43))/10</f>
        <v>5143.8</v>
      </c>
    </row>
    <row r="45" spans="1:30" x14ac:dyDescent="0.25">
      <c r="A45" s="3">
        <f>(SUM(A33:A35)+SUM(A38:A44))/10</f>
        <v>14.1</v>
      </c>
      <c r="B45" s="3">
        <f t="shared" ref="B45:C45" si="10">(SUM(B33:B35)+SUM(B38:B44))/10</f>
        <v>2511</v>
      </c>
      <c r="C45" s="3">
        <f t="shared" si="10"/>
        <v>1642</v>
      </c>
      <c r="D45" s="3"/>
      <c r="E45" s="3">
        <f t="shared" ref="E45" si="11">(SUM(E33:E35)+SUM(E38:E44))/10</f>
        <v>13</v>
      </c>
      <c r="F45" s="3">
        <f t="shared" ref="F45" si="12">(SUM(F33:F35)+SUM(F38:F44))/10</f>
        <v>4379.2</v>
      </c>
      <c r="G45" s="3">
        <f t="shared" ref="G45" si="13">(SUM(G33:G35)+SUM(G38:G44))/10</f>
        <v>3056.3</v>
      </c>
      <c r="H45" s="3"/>
      <c r="I45" s="3">
        <f t="shared" ref="I45" si="14">(SUM(I33:I35)+SUM(I38:I44))/10</f>
        <v>10.3</v>
      </c>
      <c r="J45" s="3">
        <f t="shared" ref="J45" si="15">(SUM(J33:J35)+SUM(J38:J44))/10</f>
        <v>2820.8</v>
      </c>
      <c r="K45" s="3">
        <f t="shared" ref="K45" si="16">(SUM(K33:K35)+SUM(K38:K44))/10</f>
        <v>5141.6000000000004</v>
      </c>
    </row>
    <row r="49" spans="2:22" x14ac:dyDescent="0.25">
      <c r="S49" t="s">
        <v>85</v>
      </c>
      <c r="T49" t="s">
        <v>69</v>
      </c>
      <c r="U49" t="s">
        <v>70</v>
      </c>
      <c r="V49" t="s">
        <v>71</v>
      </c>
    </row>
    <row r="50" spans="2:22" x14ac:dyDescent="0.25">
      <c r="S50" t="s">
        <v>54</v>
      </c>
      <c r="T50" s="2">
        <v>15</v>
      </c>
      <c r="U50" s="2">
        <v>16</v>
      </c>
      <c r="V50" s="2">
        <v>2</v>
      </c>
    </row>
    <row r="51" spans="2:22" x14ac:dyDescent="0.25">
      <c r="C51" t="s">
        <v>46</v>
      </c>
      <c r="D51" t="s">
        <v>47</v>
      </c>
      <c r="S51" t="s">
        <v>55</v>
      </c>
      <c r="T51">
        <v>14</v>
      </c>
      <c r="U51">
        <v>17</v>
      </c>
      <c r="V51">
        <v>8</v>
      </c>
    </row>
    <row r="52" spans="2:22" x14ac:dyDescent="0.25">
      <c r="B52" t="s">
        <v>48</v>
      </c>
      <c r="C52">
        <v>2511</v>
      </c>
      <c r="D52">
        <v>1786</v>
      </c>
      <c r="E52" t="s">
        <v>53</v>
      </c>
      <c r="F52" t="s">
        <v>49</v>
      </c>
      <c r="G52" t="s">
        <v>50</v>
      </c>
      <c r="S52" t="s">
        <v>56</v>
      </c>
      <c r="T52">
        <v>14</v>
      </c>
      <c r="U52">
        <v>17</v>
      </c>
      <c r="V52">
        <v>8</v>
      </c>
    </row>
    <row r="53" spans="2:22" x14ac:dyDescent="0.25">
      <c r="E53" t="s">
        <v>48</v>
      </c>
      <c r="F53">
        <v>3710</v>
      </c>
      <c r="G53">
        <v>4379</v>
      </c>
      <c r="S53" t="s">
        <v>57</v>
      </c>
      <c r="T53">
        <v>13</v>
      </c>
      <c r="U53">
        <v>16</v>
      </c>
      <c r="V53">
        <v>8</v>
      </c>
    </row>
    <row r="54" spans="2:22" x14ac:dyDescent="0.25">
      <c r="E54" t="s">
        <v>51</v>
      </c>
      <c r="F54">
        <v>2980</v>
      </c>
      <c r="G54">
        <v>3056</v>
      </c>
      <c r="S54" t="s">
        <v>58</v>
      </c>
      <c r="T54" s="2">
        <v>11</v>
      </c>
      <c r="U54" s="2">
        <v>22</v>
      </c>
      <c r="V54" s="2">
        <v>0</v>
      </c>
    </row>
    <row r="55" spans="2:22" x14ac:dyDescent="0.25">
      <c r="E55" t="s">
        <v>52</v>
      </c>
      <c r="F55">
        <v>15.4</v>
      </c>
      <c r="G55">
        <v>13</v>
      </c>
      <c r="S55" t="s">
        <v>59</v>
      </c>
      <c r="T55" s="2">
        <v>10</v>
      </c>
      <c r="U55" s="2">
        <v>19</v>
      </c>
      <c r="V55" s="2">
        <v>19</v>
      </c>
    </row>
    <row r="56" spans="2:22" x14ac:dyDescent="0.25">
      <c r="S56" t="s">
        <v>60</v>
      </c>
      <c r="T56">
        <v>11</v>
      </c>
      <c r="U56">
        <v>16</v>
      </c>
      <c r="V56">
        <v>13</v>
      </c>
    </row>
    <row r="57" spans="2:22" x14ac:dyDescent="0.25">
      <c r="S57" t="s">
        <v>61</v>
      </c>
      <c r="T57">
        <v>12</v>
      </c>
      <c r="U57">
        <v>14</v>
      </c>
      <c r="V57">
        <v>13</v>
      </c>
    </row>
    <row r="58" spans="2:22" x14ac:dyDescent="0.25">
      <c r="S58" t="s">
        <v>62</v>
      </c>
      <c r="T58">
        <v>13</v>
      </c>
      <c r="U58">
        <v>15</v>
      </c>
      <c r="V58">
        <v>12</v>
      </c>
    </row>
    <row r="59" spans="2:22" x14ac:dyDescent="0.25">
      <c r="S59" t="s">
        <v>63</v>
      </c>
      <c r="T59">
        <v>13</v>
      </c>
      <c r="U59">
        <v>15</v>
      </c>
      <c r="V59">
        <v>13</v>
      </c>
    </row>
    <row r="60" spans="2:22" x14ac:dyDescent="0.25">
      <c r="S60" t="s">
        <v>64</v>
      </c>
      <c r="T60">
        <v>14</v>
      </c>
      <c r="U60">
        <v>16</v>
      </c>
      <c r="V60">
        <v>13</v>
      </c>
    </row>
    <row r="61" spans="2:22" x14ac:dyDescent="0.25">
      <c r="S61" t="s">
        <v>65</v>
      </c>
      <c r="T61">
        <v>18</v>
      </c>
      <c r="U61">
        <v>14</v>
      </c>
      <c r="V61">
        <v>10</v>
      </c>
    </row>
    <row r="62" spans="2:22" x14ac:dyDescent="0.25">
      <c r="S62" t="s">
        <v>66</v>
      </c>
      <c r="T62">
        <v>15</v>
      </c>
      <c r="U62">
        <v>14</v>
      </c>
      <c r="V62">
        <v>13</v>
      </c>
    </row>
    <row r="64" spans="2:22" x14ac:dyDescent="0.25">
      <c r="S64" t="s">
        <v>86</v>
      </c>
      <c r="T64" t="s">
        <v>69</v>
      </c>
      <c r="U64" t="s">
        <v>70</v>
      </c>
      <c r="V64" t="s">
        <v>71</v>
      </c>
    </row>
    <row r="65" spans="19:22" x14ac:dyDescent="0.25">
      <c r="S65" t="s">
        <v>54</v>
      </c>
      <c r="T65">
        <f>U31+V31</f>
        <v>3405</v>
      </c>
      <c r="U65">
        <f>Y31+Z31</f>
        <v>6652</v>
      </c>
      <c r="V65">
        <f>AC31+AD31</f>
        <v>2000</v>
      </c>
    </row>
    <row r="66" spans="19:22" x14ac:dyDescent="0.25">
      <c r="S66" t="s">
        <v>55</v>
      </c>
      <c r="T66">
        <f>U32+V32</f>
        <v>3405</v>
      </c>
      <c r="U66">
        <f t="shared" ref="U66:U77" si="17">Y32+Z32</f>
        <v>6584</v>
      </c>
      <c r="V66">
        <f t="shared" ref="V66:V76" si="18">AC32+AD32</f>
        <v>7523</v>
      </c>
    </row>
    <row r="67" spans="19:22" x14ac:dyDescent="0.25">
      <c r="S67" t="s">
        <v>56</v>
      </c>
      <c r="T67">
        <f t="shared" ref="T67:T77" si="19">U33+V33</f>
        <v>3405</v>
      </c>
      <c r="U67">
        <f t="shared" si="17"/>
        <v>6696</v>
      </c>
      <c r="V67">
        <f t="shared" si="18"/>
        <v>7574</v>
      </c>
    </row>
    <row r="68" spans="19:22" x14ac:dyDescent="0.25">
      <c r="S68" t="s">
        <v>57</v>
      </c>
      <c r="T68">
        <f t="shared" si="19"/>
        <v>3405</v>
      </c>
      <c r="U68">
        <f t="shared" si="17"/>
        <v>6686</v>
      </c>
      <c r="V68">
        <f t="shared" si="18"/>
        <v>7610</v>
      </c>
    </row>
    <row r="69" spans="19:22" x14ac:dyDescent="0.25">
      <c r="S69" t="s">
        <v>58</v>
      </c>
      <c r="T69">
        <f t="shared" si="19"/>
        <v>3405</v>
      </c>
      <c r="U69">
        <f t="shared" si="17"/>
        <v>7375</v>
      </c>
      <c r="V69">
        <f t="shared" si="18"/>
        <v>380</v>
      </c>
    </row>
    <row r="70" spans="19:22" x14ac:dyDescent="0.25">
      <c r="S70" t="s">
        <v>59</v>
      </c>
      <c r="T70">
        <f t="shared" si="19"/>
        <v>3405</v>
      </c>
      <c r="U70">
        <f t="shared" si="17"/>
        <v>6108</v>
      </c>
      <c r="V70">
        <f t="shared" si="18"/>
        <v>15200</v>
      </c>
    </row>
    <row r="71" spans="19:22" x14ac:dyDescent="0.25">
      <c r="S71" t="s">
        <v>60</v>
      </c>
      <c r="T71">
        <f t="shared" si="19"/>
        <v>3405</v>
      </c>
      <c r="U71">
        <f t="shared" si="17"/>
        <v>6601</v>
      </c>
      <c r="V71">
        <f t="shared" si="18"/>
        <v>8186</v>
      </c>
    </row>
    <row r="72" spans="19:22" x14ac:dyDescent="0.25">
      <c r="S72" t="s">
        <v>61</v>
      </c>
      <c r="T72">
        <f t="shared" si="19"/>
        <v>3405</v>
      </c>
      <c r="U72">
        <f t="shared" si="17"/>
        <v>6576</v>
      </c>
      <c r="V72">
        <f t="shared" si="18"/>
        <v>8633</v>
      </c>
    </row>
    <row r="73" spans="19:22" x14ac:dyDescent="0.25">
      <c r="S73" t="s">
        <v>62</v>
      </c>
      <c r="T73">
        <f t="shared" si="19"/>
        <v>3405</v>
      </c>
      <c r="U73">
        <f t="shared" si="17"/>
        <v>6712</v>
      </c>
      <c r="V73">
        <f t="shared" si="18"/>
        <v>7604</v>
      </c>
    </row>
    <row r="74" spans="19:22" x14ac:dyDescent="0.25">
      <c r="S74" t="s">
        <v>63</v>
      </c>
      <c r="T74">
        <f t="shared" si="19"/>
        <v>3405</v>
      </c>
      <c r="U74">
        <f t="shared" si="17"/>
        <v>6633</v>
      </c>
      <c r="V74">
        <f t="shared" si="18"/>
        <v>8024</v>
      </c>
    </row>
    <row r="75" spans="19:22" x14ac:dyDescent="0.25">
      <c r="S75" t="s">
        <v>64</v>
      </c>
      <c r="T75">
        <f t="shared" si="19"/>
        <v>3405</v>
      </c>
      <c r="U75">
        <f t="shared" si="17"/>
        <v>6753</v>
      </c>
      <c r="V75">
        <f t="shared" si="18"/>
        <v>8129</v>
      </c>
    </row>
    <row r="76" spans="19:22" x14ac:dyDescent="0.25">
      <c r="S76" t="s">
        <v>65</v>
      </c>
      <c r="T76">
        <f t="shared" si="19"/>
        <v>3405</v>
      </c>
      <c r="U76">
        <f t="shared" si="17"/>
        <v>6848</v>
      </c>
      <c r="V76">
        <f t="shared" si="18"/>
        <v>7772</v>
      </c>
    </row>
    <row r="77" spans="19:22" x14ac:dyDescent="0.25">
      <c r="S77" t="s">
        <v>66</v>
      </c>
      <c r="T77">
        <f t="shared" si="19"/>
        <v>3405</v>
      </c>
      <c r="U77">
        <f t="shared" si="17"/>
        <v>6815</v>
      </c>
      <c r="V77">
        <f>AC43+AD43</f>
        <v>8069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Knapski (287393)</dc:creator>
  <cp:lastModifiedBy>Jakub Knapski (287393)</cp:lastModifiedBy>
  <dcterms:created xsi:type="dcterms:W3CDTF">2025-11-04T00:27:52Z</dcterms:created>
  <dcterms:modified xsi:type="dcterms:W3CDTF">2025-11-05T00:01:32Z</dcterms:modified>
</cp:coreProperties>
</file>